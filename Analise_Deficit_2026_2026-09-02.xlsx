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DD_Filtrado" sheetId="1" state="visible" r:id="rId1"/>
    <sheet name="Liquidado_Mensal" sheetId="2" state="visible" r:id="rId2"/>
    <sheet name="PT_4195_0001" sheetId="3" state="visible" r:id="rId3"/>
    <sheet name="PT_2885_0001" sheetId="4" state="visible" r:id="rId4"/>
    <sheet name="PT_9071_0003" sheetId="5" state="visible" r:id="rId5"/>
    <sheet name="PT_9073_0003" sheetId="6" state="visible" r:id="rId6"/>
    <sheet name="PT_4162_0008" sheetId="7" state="visible" r:id="rId7"/>
    <sheet name="PT_4206_0002" sheetId="8" state="visible" r:id="rId8"/>
    <sheet name="PT_4206_0001" sheetId="9" state="visible" r:id="rId9"/>
    <sheet name="PT_2756_6137" sheetId="10" state="visible" r:id="rId10"/>
    <sheet name="PT_2903_0001" sheetId="11" state="visible" r:id="rId11"/>
    <sheet name="PT_8508_0002" sheetId="12" state="visible" r:id="rId12"/>
    <sheet name="PT_4202_Consolidado" sheetId="13" state="visible" r:id="rId13"/>
    <sheet name="PT_2540_0002" sheetId="14" state="visible" r:id="rId14"/>
    <sheet name="PT_2727_0006" sheetId="15" state="visible" r:id="rId15"/>
    <sheet name="PT_4272_0001" sheetId="16" state="visible" r:id="rId16"/>
    <sheet name="PT_4175_0002" sheetId="17" state="visible" r:id="rId17"/>
    <sheet name="PT_9126_0001" sheetId="18" state="visible" r:id="rId18"/>
    <sheet name="PT_2422_0006" sheetId="19" state="visible" r:id="rId19"/>
    <sheet name="PT_2984_0001" sheetId="20" state="visible" r:id="rId20"/>
    <sheet name="PT_2990_0008" sheetId="21" state="visible" r:id="rId21"/>
    <sheet name="PT_2990_0006" sheetId="22" state="visible" r:id="rId22"/>
    <sheet name="PT_4091_0096" sheetId="23" state="visible" r:id="rId23"/>
    <sheet name="PT_2079_6118" sheetId="24" state="visible" r:id="rId24"/>
    <sheet name="PT_2455_Consolidado" sheetId="25" state="visible" r:id="rId25"/>
    <sheet name="Consolidado" sheetId="26" state="visible" r:id="rId26"/>
    <sheet name="Consolidado (Fontes 100-183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8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808080"/>
      <sz val="8"/>
    </font>
    <font>
      <name val="Arial"/>
      <b val="1"/>
      <color rgb="001F4E78"/>
      <sz val="12"/>
    </font>
    <font>
      <name val="Arial"/>
      <color rgb="00808080"/>
      <sz val="9"/>
    </font>
    <font>
      <name val="Arial"/>
      <b val="1"/>
      <color rgb="001F4E78"/>
      <sz val="9"/>
    </font>
    <font>
      <name val="Arial"/>
      <b val="1"/>
      <color rgb="00C55A11"/>
      <sz val="9"/>
    </font>
    <font>
      <name val="Arial"/>
      <b val="1"/>
      <color rgb="001F4E78"/>
      <sz val="13"/>
    </font>
    <font>
      <name val="Arial"/>
      <color rgb="000000FF"/>
      <sz val="9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color rgb="001F4E78"/>
      <sz val="8"/>
    </font>
    <font>
      <name val="Arial"/>
      <color rgb="00404040"/>
      <sz val="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C55A11"/>
      </left>
      <right/>
      <top style="medium">
        <color rgb="00C55A11"/>
      </top>
      <bottom style="thin">
        <color rgb="00BFBFBF"/>
      </bottom>
    </border>
    <border>
      <left/>
      <right style="medium">
        <color rgb="00C55A11"/>
      </right>
      <top style="medium">
        <color rgb="00C55A11"/>
      </top>
      <bottom style="thin">
        <color rgb="00BFBFBF"/>
      </bottom>
    </border>
    <border>
      <left style="medium">
        <color rgb="00C55A11"/>
      </left>
      <right/>
      <top style="thin">
        <color rgb="00BFBFBF"/>
      </top>
      <bottom style="thin">
        <color rgb="00BFBFBF"/>
      </bottom>
    </border>
    <border>
      <left/>
      <right style="medium">
        <color rgb="00C55A11"/>
      </right>
      <top style="thin">
        <color rgb="00BFBFBF"/>
      </top>
      <bottom style="thin">
        <color rgb="00BFBFBF"/>
      </bottom>
    </border>
    <border>
      <left style="medium">
        <color rgb="00C55A11"/>
      </left>
      <right/>
      <top style="thin">
        <color rgb="00BFBFBF"/>
      </top>
      <bottom style="medium">
        <color rgb="00C55A11"/>
      </bottom>
    </border>
    <border>
      <left/>
      <right style="medium">
        <color rgb="00C55A11"/>
      </right>
      <top style="thin">
        <color rgb="00BFBFBF"/>
      </top>
      <bottom style="medium">
        <color rgb="00C55A1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9" fillId="3" borderId="0" pivotButton="0" quotePrefix="0" xfId="0"/>
    <xf numFmtId="0" fontId="0" fillId="3" borderId="0" pivotButton="0" quotePrefix="0" xfId="0"/>
    <xf numFmtId="164" fontId="5" fillId="4" borderId="1" pivotButton="0" quotePrefix="0" xfId="0"/>
    <xf numFmtId="0" fontId="5" fillId="0" borderId="1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top" wrapText="1"/>
    </xf>
    <xf numFmtId="0" fontId="9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" fontId="12" fillId="5" borderId="1" pivotButton="0" quotePrefix="0" xfId="0"/>
    <xf numFmtId="165" fontId="12" fillId="5" borderId="1" pivotButton="0" quotePrefix="0" xfId="0"/>
    <xf numFmtId="0" fontId="13" fillId="2" borderId="1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center" wrapText="1"/>
    </xf>
    <xf numFmtId="0" fontId="13" fillId="2" borderId="3" applyAlignment="1" pivotButton="0" quotePrefix="0" xfId="0">
      <alignment horizontal="center" vertical="center" wrapText="1"/>
    </xf>
    <xf numFmtId="0" fontId="14" fillId="0" borderId="1" pivotButton="0" quotePrefix="0" xfId="0"/>
    <xf numFmtId="164" fontId="2" fillId="0" borderId="4" pivotButton="0" quotePrefix="0" xfId="0"/>
    <xf numFmtId="164" fontId="2" fillId="0" borderId="5" pivotButton="0" quotePrefix="0" xfId="0"/>
    <xf numFmtId="0" fontId="5" fillId="4" borderId="1" pivotButton="0" quotePrefix="0" xfId="0"/>
    <xf numFmtId="0" fontId="0" fillId="4" borderId="1" pivotButton="0" quotePrefix="0" xfId="0"/>
    <xf numFmtId="164" fontId="5" fillId="4" borderId="6" pivotButton="0" quotePrefix="0" xfId="0"/>
    <xf numFmtId="164" fontId="5" fillId="4" borderId="7" pivotButton="0" quotePrefix="0" xfId="0"/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'PT_4195_0001'!$A$40:$A$41</f>
            </numRef>
          </cat>
          <val>
            <numRef>
              <f>'PT_4195_0001'!$B$40:$B$41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'PT_4195_0001'!B43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'PT_4195_0001'!$A$44:$A$51</f>
            </numRef>
          </cat>
          <val>
            <numRef>
              <f>'PT_4195_0001'!$B$44:$B$51</f>
            </numRef>
          </val>
        </ser>
        <ser>
          <idx val="1"/>
          <order val="1"/>
          <tx>
            <strRef>
              <f>'PT_4195_0001'!C43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'PT_4195_0001'!$A$44:$A$51</f>
            </numRef>
          </cat>
          <val>
            <numRef>
              <f>'PT_4195_0001'!$C$44:$C$51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'PT_4195_0001'!$A$53:$A$54</f>
            </numRef>
          </cat>
          <val>
            <numRef>
              <f>'PT_4195_0001'!$B$53:$B$54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'PT_4195_0001'!B56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'PT_4195_0001'!$A$57:$A$64</f>
            </numRef>
          </cat>
          <val>
            <numRef>
              <f>'PT_4195_0001'!$B$57:$B$64</f>
            </numRef>
          </val>
        </ser>
        <ser>
          <idx val="1"/>
          <order val="1"/>
          <tx>
            <strRef>
              <f>'PT_4195_0001'!C56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'PT_4195_0001'!$A$57:$A$64</f>
            </numRef>
          </cat>
          <val>
            <numRef>
              <f>'PT_4195_0001'!$C$57:$C$64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'PT_2885_0001'!$A$40:$A$41</f>
            </numRef>
          </cat>
          <val>
            <numRef>
              <f>'PT_2885_0001'!$B$40:$B$41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'PT_2885_0001'!B43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'PT_2885_0001'!$A$44:$A$51</f>
            </numRef>
          </cat>
          <val>
            <numRef>
              <f>'PT_2885_0001'!$B$44:$B$51</f>
            </numRef>
          </val>
        </ser>
        <ser>
          <idx val="1"/>
          <order val="1"/>
          <tx>
            <strRef>
              <f>'PT_2885_0001'!C43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'PT_2885_0001'!$A$44:$A$51</f>
            </numRef>
          </cat>
          <val>
            <numRef>
              <f>'PT_2885_0001'!$C$44:$C$51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'PT_2885_0001'!$A$53:$A$54</f>
            </numRef>
          </cat>
          <val>
            <numRef>
              <f>'PT_2885_0001'!$B$53:$B$54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'PT_2885_0001'!B56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'PT_2885_0001'!$A$57:$A$64</f>
            </numRef>
          </cat>
          <val>
            <numRef>
              <f>'PT_2885_0001'!$B$57:$B$64</f>
            </numRef>
          </val>
        </ser>
        <ser>
          <idx val="1"/>
          <order val="1"/>
          <tx>
            <strRef>
              <f>'PT_2885_0001'!C56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'PT_2885_0001'!$A$57:$A$64</f>
            </numRef>
          </cat>
          <val>
            <numRef>
              <f>'PT_2885_0001'!$C$57:$C$64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'PT_9071_0003'!$A$40:$A$41</f>
            </numRef>
          </cat>
          <val>
            <numRef>
              <f>'PT_9071_0003'!$B$40:$B$41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'PT_9071_0003'!B43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'PT_9071_0003'!$A$44:$A$51</f>
            </numRef>
          </cat>
          <val>
            <numRef>
              <f>'PT_9071_0003'!$B$44:$B$51</f>
            </numRef>
          </val>
        </ser>
        <ser>
          <idx val="1"/>
          <order val="1"/>
          <tx>
            <strRef>
              <f>'PT_9071_0003'!C43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'PT_9071_0003'!$A$44:$A$51</f>
            </numRef>
          </cat>
          <val>
            <numRef>
              <f>'PT_9071_0003'!$C$44:$C$51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'PT_9071_0003'!$A$53:$A$54</f>
            </numRef>
          </cat>
          <val>
            <numRef>
              <f>'PT_9071_0003'!$B$53:$B$54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'PT_9071_0003'!B56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'PT_9071_0003'!$A$57:$A$64</f>
            </numRef>
          </cat>
          <val>
            <numRef>
              <f>'PT_9071_0003'!$B$57:$B$64</f>
            </numRef>
          </val>
        </ser>
        <ser>
          <idx val="1"/>
          <order val="1"/>
          <tx>
            <strRef>
              <f>'PT_9071_0003'!C56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'PT_9071_0003'!$A$57:$A$64</f>
            </numRef>
          </cat>
          <val>
            <numRef>
              <f>'PT_9071_0003'!$C$57:$C$64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'PT_9073_0003'!$A$40:$A$41</f>
            </numRef>
          </cat>
          <val>
            <numRef>
              <f>'PT_9073_0003'!$B$40:$B$41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'PT_9073_0003'!B43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'PT_9073_0003'!$A$44:$A$51</f>
            </numRef>
          </cat>
          <val>
            <numRef>
              <f>'PT_9073_0003'!$B$44:$B$51</f>
            </numRef>
          </val>
        </ser>
        <ser>
          <idx val="1"/>
          <order val="1"/>
          <tx>
            <strRef>
              <f>'PT_9073_0003'!C43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'PT_9073_0003'!$A$44:$A$51</f>
            </numRef>
          </cat>
          <val>
            <numRef>
              <f>'PT_9073_0003'!$C$44:$C$51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'PT_9073_0003'!$A$53:$A$54</f>
            </numRef>
          </cat>
          <val>
            <numRef>
              <f>'PT_9073_0003'!$B$53:$B$54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'PT_9073_0003'!B56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'PT_9073_0003'!$A$57:$A$64</f>
            </numRef>
          </cat>
          <val>
            <numRef>
              <f>'PT_9073_0003'!$B$57:$B$64</f>
            </numRef>
          </val>
        </ser>
        <ser>
          <idx val="1"/>
          <order val="1"/>
          <tx>
            <strRef>
              <f>'PT_9073_0003'!C56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'PT_9073_0003'!$A$57:$A$64</f>
            </numRef>
          </cat>
          <val>
            <numRef>
              <f>'PT_9073_0003'!$C$57:$C$64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'PT_4162_0008'!$A$40:$A$41</f>
            </numRef>
          </cat>
          <val>
            <numRef>
              <f>'PT_4162_0008'!$B$40:$B$41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'PT_4162_0008'!B43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'PT_4162_0008'!$A$44:$A$51</f>
            </numRef>
          </cat>
          <val>
            <numRef>
              <f>'PT_4162_0008'!$B$44:$B$51</f>
            </numRef>
          </val>
        </ser>
        <ser>
          <idx val="1"/>
          <order val="1"/>
          <tx>
            <strRef>
              <f>'PT_4162_0008'!C43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'PT_4162_0008'!$A$44:$A$51</f>
            </numRef>
          </cat>
          <val>
            <numRef>
              <f>'PT_4162_0008'!$C$44:$C$51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'PT_4162_0008'!$A$53:$A$54</f>
            </numRef>
          </cat>
          <val>
            <numRef>
              <f>'PT_4162_0008'!$B$53:$B$54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'PT_4162_0008'!B56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'PT_4162_0008'!$A$57:$A$64</f>
            </numRef>
          </cat>
          <val>
            <numRef>
              <f>'PT_4162_0008'!$B$57:$B$64</f>
            </numRef>
          </val>
        </ser>
        <ser>
          <idx val="1"/>
          <order val="1"/>
          <tx>
            <strRef>
              <f>'PT_4162_0008'!C56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'PT_4162_0008'!$A$57:$A$64</f>
            </numRef>
          </cat>
          <val>
            <numRef>
              <f>'PT_4162_0008'!$C$57:$C$64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'PT_4206_0002'!$A$41:$A$42</f>
            </numRef>
          </cat>
          <val>
            <numRef>
              <f>'PT_4206_0002'!$B$41:$B$42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'PT_4206_0002'!B44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'PT_4206_0002'!$A$45:$A$52</f>
            </numRef>
          </cat>
          <val>
            <numRef>
              <f>'PT_4206_0002'!$B$45:$B$52</f>
            </numRef>
          </val>
        </ser>
        <ser>
          <idx val="1"/>
          <order val="1"/>
          <tx>
            <strRef>
              <f>'PT_4206_0002'!C44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'PT_4206_0002'!$A$45:$A$52</f>
            </numRef>
          </cat>
          <val>
            <numRef>
              <f>'PT_4206_0002'!$C$45:$C$52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'PT_4206_0002'!$A$54:$A$55</f>
            </numRef>
          </cat>
          <val>
            <numRef>
              <f>'PT_4206_0002'!$B$54:$B$55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'PT_4206_0002'!B57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'PT_4206_0002'!$A$58:$A$65</f>
            </numRef>
          </cat>
          <val>
            <numRef>
              <f>'PT_4206_0002'!$B$58:$B$65</f>
            </numRef>
          </val>
        </ser>
        <ser>
          <idx val="1"/>
          <order val="1"/>
          <tx>
            <strRef>
              <f>'PT_4206_0002'!C57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'PT_4206_0002'!$A$58:$A$65</f>
            </numRef>
          </cat>
          <val>
            <numRef>
              <f>'PT_4206_0002'!$C$58:$C$65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'PT_4206_0001'!$A$40:$A$41</f>
            </numRef>
          </cat>
          <val>
            <numRef>
              <f>'PT_4206_0001'!$B$40:$B$41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'PT_4206_0001'!$A$44:$A$51</f>
            </numRef>
          </cat>
          <val>
            <numRef>
              <f>'PT_4206_0001'!$B$44:$B$51</f>
            </numRef>
          </val>
        </ser>
        <ser>
          <idx val="1"/>
          <order val="1"/>
          <tx>
            <strRef>
              <f>'PT_4206_0001'!C43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'PT_4206_0001'!$A$44:$A$51</f>
            </numRef>
          </cat>
          <val>
            <numRef>
              <f>'PT_4206_0001'!$C$44:$C$51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'PT_4206_0001'!$A$53:$A$54</f>
            </numRef>
          </cat>
          <val>
            <numRef>
              <f>'PT_4206_0001'!$B$53:$B$54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'PT_4206_0001'!$A$57:$A$64</f>
            </numRef>
          </cat>
          <val>
            <numRef>
              <f>'PT_4206_0001'!$B$57:$B$64</f>
            </numRef>
          </val>
        </ser>
        <ser>
          <idx val="1"/>
          <order val="1"/>
          <tx>
            <strRef>
              <f>'PT_4206_0001'!C56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'PT_4206_0001'!$A$57:$A$64</f>
            </numRef>
          </cat>
          <val>
            <numRef>
              <f>'PT_4206_0001'!$C$57:$C$64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'PT_2756_6137'!$A$41:$A$42</f>
            </numRef>
          </cat>
          <val>
            <numRef>
              <f>'PT_2756_6137'!$B$41:$B$42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'PT_2756_6137'!B44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'PT_2756_6137'!$A$45:$A$52</f>
            </numRef>
          </cat>
          <val>
            <numRef>
              <f>'PT_2756_6137'!$B$45:$B$52</f>
            </numRef>
          </val>
        </ser>
        <ser>
          <idx val="1"/>
          <order val="1"/>
          <tx>
            <strRef>
              <f>'PT_2756_6137'!C44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'PT_2756_6137'!$A$45:$A$52</f>
            </numRef>
          </cat>
          <val>
            <numRef>
              <f>'PT_2756_6137'!$C$45:$C$52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'PT_2756_6137'!$A$54:$A$55</f>
            </numRef>
          </cat>
          <val>
            <numRef>
              <f>'PT_2756_6137'!$B$54:$B$55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'PT_2756_6137'!B57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'PT_2756_6137'!$A$58:$A$65</f>
            </numRef>
          </cat>
          <val>
            <numRef>
              <f>'PT_2756_6137'!$B$58:$B$65</f>
            </numRef>
          </val>
        </ser>
        <ser>
          <idx val="1"/>
          <order val="1"/>
          <tx>
            <strRef>
              <f>'PT_2756_6137'!C57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'PT_2756_6137'!$A$58:$A$65</f>
            </numRef>
          </cat>
          <val>
            <numRef>
              <f>'PT_2756_6137'!$C$58:$C$65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'PT_2903_0001'!$A$40:$A$41</f>
            </numRef>
          </cat>
          <val>
            <numRef>
              <f>'PT_2903_0001'!$B$40:$B$41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'PT_2903_0001'!B43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'PT_2903_0001'!$A$44:$A$51</f>
            </numRef>
          </cat>
          <val>
            <numRef>
              <f>'PT_2903_0001'!$B$44:$B$51</f>
            </numRef>
          </val>
        </ser>
        <ser>
          <idx val="1"/>
          <order val="1"/>
          <tx>
            <strRef>
              <f>'PT_2903_0001'!C43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'PT_2903_0001'!$A$44:$A$51</f>
            </numRef>
          </cat>
          <val>
            <numRef>
              <f>'PT_2903_0001'!$C$44:$C$51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'PT_2903_0001'!$A$53:$A$54</f>
            </numRef>
          </cat>
          <val>
            <numRef>
              <f>'PT_2903_0001'!$B$53:$B$54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'PT_2903_0001'!B56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'PT_2903_0001'!$A$57:$A$64</f>
            </numRef>
          </cat>
          <val>
            <numRef>
              <f>'PT_2903_0001'!$B$57:$B$64</f>
            </numRef>
          </val>
        </ser>
        <ser>
          <idx val="1"/>
          <order val="1"/>
          <tx>
            <strRef>
              <f>'PT_2903_0001'!C56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'PT_2903_0001'!$A$57:$A$64</f>
            </numRef>
          </cat>
          <val>
            <numRef>
              <f>'PT_2903_0001'!$C$57:$C$64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'PT_8508_0002'!$A$40:$A$41</f>
            </numRef>
          </cat>
          <val>
            <numRef>
              <f>'PT_8508_0002'!$B$40:$B$41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'PT_8508_0002'!B43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'PT_8508_0002'!$A$44:$A$51</f>
            </numRef>
          </cat>
          <val>
            <numRef>
              <f>'PT_8508_0002'!$B$44:$B$51</f>
            </numRef>
          </val>
        </ser>
        <ser>
          <idx val="1"/>
          <order val="1"/>
          <tx>
            <strRef>
              <f>'PT_8508_0002'!C43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'PT_8508_0002'!$A$44:$A$51</f>
            </numRef>
          </cat>
          <val>
            <numRef>
              <f>'PT_8508_0002'!$C$44:$C$51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'PT_8508_0002'!$A$53:$A$54</f>
            </numRef>
          </cat>
          <val>
            <numRef>
              <f>'PT_8508_0002'!$B$53:$B$54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'PT_8508_0002'!B56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'PT_8508_0002'!$A$57:$A$64</f>
            </numRef>
          </cat>
          <val>
            <numRef>
              <f>'PT_8508_0002'!$B$57:$B$64</f>
            </numRef>
          </val>
        </ser>
        <ser>
          <idx val="1"/>
          <order val="1"/>
          <tx>
            <strRef>
              <f>'PT_8508_0002'!C56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'PT_8508_0002'!$A$57:$A$64</f>
            </numRef>
          </cat>
          <val>
            <numRef>
              <f>'PT_8508_0002'!$C$57:$C$64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'PT_4202_Consolidado'!$A$41:$A$42</f>
            </numRef>
          </cat>
          <val>
            <numRef>
              <f>'PT_4202_Consolidado'!$B$41:$B$42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'PT_4202_Consolidado'!B44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'PT_4202_Consolidado'!$A$45:$A$52</f>
            </numRef>
          </cat>
          <val>
            <numRef>
              <f>'PT_4202_Consolidado'!$B$45:$B$52</f>
            </numRef>
          </val>
        </ser>
        <ser>
          <idx val="1"/>
          <order val="1"/>
          <tx>
            <strRef>
              <f>'PT_4202_Consolidado'!C44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'PT_4202_Consolidado'!$A$45:$A$52</f>
            </numRef>
          </cat>
          <val>
            <numRef>
              <f>'PT_4202_Consolidado'!$C$45:$C$52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'PT_4202_Consolidado'!$A$54:$A$55</f>
            </numRef>
          </cat>
          <val>
            <numRef>
              <f>'PT_4202_Consolidado'!$B$54:$B$55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'PT_4202_Consolidado'!B57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'PT_4202_Consolidado'!$A$58:$A$65</f>
            </numRef>
          </cat>
          <val>
            <numRef>
              <f>'PT_4202_Consolidado'!$B$58:$B$65</f>
            </numRef>
          </val>
        </ser>
        <ser>
          <idx val="1"/>
          <order val="1"/>
          <tx>
            <strRef>
              <f>'PT_4202_Consolidado'!C57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'PT_4202_Consolidado'!$A$58:$A$65</f>
            </numRef>
          </cat>
          <val>
            <numRef>
              <f>'PT_4202_Consolidado'!$C$58:$C$65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'PT_2540_0002'!$A$40:$A$41</f>
            </numRef>
          </cat>
          <val>
            <numRef>
              <f>'PT_2540_0002'!$B$40:$B$41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'PT_2540_0002'!B43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'PT_2540_0002'!$A$44:$A$51</f>
            </numRef>
          </cat>
          <val>
            <numRef>
              <f>'PT_2540_0002'!$B$44:$B$51</f>
            </numRef>
          </val>
        </ser>
        <ser>
          <idx val="1"/>
          <order val="1"/>
          <tx>
            <strRef>
              <f>'PT_2540_0002'!C43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'PT_2540_0002'!$A$44:$A$51</f>
            </numRef>
          </cat>
          <val>
            <numRef>
              <f>'PT_2540_0002'!$C$44:$C$51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'PT_2540_0002'!$A$53:$A$54</f>
            </numRef>
          </cat>
          <val>
            <numRef>
              <f>'PT_2540_0002'!$B$53:$B$54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'PT_2540_0002'!B56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'PT_2540_0002'!$A$57:$A$64</f>
            </numRef>
          </cat>
          <val>
            <numRef>
              <f>'PT_2540_0002'!$B$57:$B$64</f>
            </numRef>
          </val>
        </ser>
        <ser>
          <idx val="1"/>
          <order val="1"/>
          <tx>
            <strRef>
              <f>'PT_2540_0002'!C56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'PT_2540_0002'!$A$57:$A$64</f>
            </numRef>
          </cat>
          <val>
            <numRef>
              <f>'PT_2540_0002'!$C$57:$C$64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'PT_2727_0006'!$A$41:$A$42</f>
            </numRef>
          </cat>
          <val>
            <numRef>
              <f>'PT_2727_0006'!$B$41:$B$42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'PT_2727_0006'!B44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'PT_2727_0006'!$A$45:$A$52</f>
            </numRef>
          </cat>
          <val>
            <numRef>
              <f>'PT_2727_0006'!$B$45:$B$52</f>
            </numRef>
          </val>
        </ser>
        <ser>
          <idx val="1"/>
          <order val="1"/>
          <tx>
            <strRef>
              <f>'PT_2727_0006'!C44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'PT_2727_0006'!$A$45:$A$52</f>
            </numRef>
          </cat>
          <val>
            <numRef>
              <f>'PT_2727_0006'!$C$45:$C$52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'PT_2727_0006'!$A$54:$A$55</f>
            </numRef>
          </cat>
          <val>
            <numRef>
              <f>'PT_2727_0006'!$B$54:$B$55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'PT_2727_0006'!B57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'PT_2727_0006'!$A$58:$A$65</f>
            </numRef>
          </cat>
          <val>
            <numRef>
              <f>'PT_2727_0006'!$B$58:$B$65</f>
            </numRef>
          </val>
        </ser>
        <ser>
          <idx val="1"/>
          <order val="1"/>
          <tx>
            <strRef>
              <f>'PT_2727_0006'!C57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'PT_2727_0006'!$A$58:$A$65</f>
            </numRef>
          </cat>
          <val>
            <numRef>
              <f>'PT_2727_0006'!$C$58:$C$65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'PT_4272_0001'!$A$41:$A$42</f>
            </numRef>
          </cat>
          <val>
            <numRef>
              <f>'PT_4272_0001'!$B$41:$B$42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'PT_4272_0001'!B44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'PT_4272_0001'!$A$45:$A$52</f>
            </numRef>
          </cat>
          <val>
            <numRef>
              <f>'PT_4272_0001'!$B$45:$B$52</f>
            </numRef>
          </val>
        </ser>
        <ser>
          <idx val="1"/>
          <order val="1"/>
          <tx>
            <strRef>
              <f>'PT_4272_0001'!C44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'PT_4272_0001'!$A$45:$A$52</f>
            </numRef>
          </cat>
          <val>
            <numRef>
              <f>'PT_4272_0001'!$C$45:$C$52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'PT_4272_0001'!$A$54:$A$55</f>
            </numRef>
          </cat>
          <val>
            <numRef>
              <f>'PT_4272_0001'!$B$54:$B$55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'PT_4272_0001'!B57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'PT_4272_0001'!$A$58:$A$65</f>
            </numRef>
          </cat>
          <val>
            <numRef>
              <f>'PT_4272_0001'!$B$58:$B$65</f>
            </numRef>
          </val>
        </ser>
        <ser>
          <idx val="1"/>
          <order val="1"/>
          <tx>
            <strRef>
              <f>'PT_4272_0001'!C57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'PT_4272_0001'!$A$58:$A$65</f>
            </numRef>
          </cat>
          <val>
            <numRef>
              <f>'PT_4272_0001'!$C$58:$C$65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'PT_4175_0002'!$A$40:$A$41</f>
            </numRef>
          </cat>
          <val>
            <numRef>
              <f>'PT_4175_0002'!$B$40:$B$41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'PT_4175_0002'!B43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'PT_4175_0002'!$A$44:$A$51</f>
            </numRef>
          </cat>
          <val>
            <numRef>
              <f>'PT_4175_0002'!$B$44:$B$51</f>
            </numRef>
          </val>
        </ser>
        <ser>
          <idx val="1"/>
          <order val="1"/>
          <tx>
            <strRef>
              <f>'PT_4175_0002'!C43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'PT_4175_0002'!$A$44:$A$51</f>
            </numRef>
          </cat>
          <val>
            <numRef>
              <f>'PT_4175_0002'!$C$44:$C$51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'PT_4175_0002'!$A$53:$A$54</f>
            </numRef>
          </cat>
          <val>
            <numRef>
              <f>'PT_4175_0002'!$B$53:$B$54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'PT_4175_0002'!B56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'PT_4175_0002'!$A$57:$A$64</f>
            </numRef>
          </cat>
          <val>
            <numRef>
              <f>'PT_4175_0002'!$B$57:$B$64</f>
            </numRef>
          </val>
        </ser>
        <ser>
          <idx val="1"/>
          <order val="1"/>
          <tx>
            <strRef>
              <f>'PT_4175_0002'!C56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'PT_4175_0002'!$A$57:$A$64</f>
            </numRef>
          </cat>
          <val>
            <numRef>
              <f>'PT_4175_0002'!$C$57:$C$64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'PT_9126_0001'!$A$41:$A$42</f>
            </numRef>
          </cat>
          <val>
            <numRef>
              <f>'PT_9126_0001'!$B$41:$B$42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'PT_9126_0001'!B44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'PT_9126_0001'!$A$45:$A$52</f>
            </numRef>
          </cat>
          <val>
            <numRef>
              <f>'PT_9126_0001'!$B$45:$B$52</f>
            </numRef>
          </val>
        </ser>
        <ser>
          <idx val="1"/>
          <order val="1"/>
          <tx>
            <strRef>
              <f>'PT_9126_0001'!C44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'PT_9126_0001'!$A$45:$A$52</f>
            </numRef>
          </cat>
          <val>
            <numRef>
              <f>'PT_9126_0001'!$C$45:$C$52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'PT_9126_0001'!$A$54:$A$55</f>
            </numRef>
          </cat>
          <val>
            <numRef>
              <f>'PT_9126_0001'!$B$54:$B$55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'PT_9126_0001'!B57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'PT_9126_0001'!$A$58:$A$65</f>
            </numRef>
          </cat>
          <val>
            <numRef>
              <f>'PT_9126_0001'!$B$58:$B$65</f>
            </numRef>
          </val>
        </ser>
        <ser>
          <idx val="1"/>
          <order val="1"/>
          <tx>
            <strRef>
              <f>'PT_9126_0001'!C57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'PT_9126_0001'!$A$58:$A$65</f>
            </numRef>
          </cat>
          <val>
            <numRef>
              <f>'PT_9126_0001'!$C$58:$C$65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'PT_2422_0006'!$A$40:$A$41</f>
            </numRef>
          </cat>
          <val>
            <numRef>
              <f>'PT_2422_0006'!$B$40:$B$41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'PT_2422_0006'!B43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'PT_2422_0006'!$A$44:$A$51</f>
            </numRef>
          </cat>
          <val>
            <numRef>
              <f>'PT_2422_0006'!$B$44:$B$51</f>
            </numRef>
          </val>
        </ser>
        <ser>
          <idx val="1"/>
          <order val="1"/>
          <tx>
            <strRef>
              <f>'PT_2422_0006'!C43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'PT_2422_0006'!$A$44:$A$51</f>
            </numRef>
          </cat>
          <val>
            <numRef>
              <f>'PT_2422_0006'!$C$44:$C$51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'PT_2422_0006'!$A$53:$A$54</f>
            </numRef>
          </cat>
          <val>
            <numRef>
              <f>'PT_2422_0006'!$B$53:$B$54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'PT_2422_0006'!B56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'PT_2422_0006'!$A$57:$A$64</f>
            </numRef>
          </cat>
          <val>
            <numRef>
              <f>'PT_2422_0006'!$B$57:$B$64</f>
            </numRef>
          </val>
        </ser>
        <ser>
          <idx val="1"/>
          <order val="1"/>
          <tx>
            <strRef>
              <f>'PT_2422_0006'!C56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'PT_2422_0006'!$A$57:$A$64</f>
            </numRef>
          </cat>
          <val>
            <numRef>
              <f>'PT_2422_0006'!$C$57:$C$64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'PT_2984_0001'!$A$40:$A$41</f>
            </numRef>
          </cat>
          <val>
            <numRef>
              <f>'PT_2984_0001'!$B$40:$B$41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'PT_2984_0001'!B43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'PT_2984_0001'!$A$44:$A$51</f>
            </numRef>
          </cat>
          <val>
            <numRef>
              <f>'PT_2984_0001'!$B$44:$B$51</f>
            </numRef>
          </val>
        </ser>
        <ser>
          <idx val="1"/>
          <order val="1"/>
          <tx>
            <strRef>
              <f>'PT_2984_0001'!C43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'PT_2984_0001'!$A$44:$A$51</f>
            </numRef>
          </cat>
          <val>
            <numRef>
              <f>'PT_2984_0001'!$C$44:$C$51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'PT_2984_0001'!$A$53:$A$54</f>
            </numRef>
          </cat>
          <val>
            <numRef>
              <f>'PT_2984_0001'!$B$53:$B$54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'PT_2984_0001'!B56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'PT_2984_0001'!$A$57:$A$64</f>
            </numRef>
          </cat>
          <val>
            <numRef>
              <f>'PT_2984_0001'!$B$57:$B$64</f>
            </numRef>
          </val>
        </ser>
        <ser>
          <idx val="1"/>
          <order val="1"/>
          <tx>
            <strRef>
              <f>'PT_2984_0001'!C56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'PT_2984_0001'!$A$57:$A$64</f>
            </numRef>
          </cat>
          <val>
            <numRef>
              <f>'PT_2984_0001'!$C$57:$C$64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'PT_2990_0008'!$A$41:$A$42</f>
            </numRef>
          </cat>
          <val>
            <numRef>
              <f>'PT_2990_0008'!$B$41:$B$42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'PT_2990_0008'!B44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'PT_2990_0008'!$A$45:$A$52</f>
            </numRef>
          </cat>
          <val>
            <numRef>
              <f>'PT_2990_0008'!$B$45:$B$52</f>
            </numRef>
          </val>
        </ser>
        <ser>
          <idx val="1"/>
          <order val="1"/>
          <tx>
            <strRef>
              <f>'PT_2990_0008'!C44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'PT_2990_0008'!$A$45:$A$52</f>
            </numRef>
          </cat>
          <val>
            <numRef>
              <f>'PT_2990_0008'!$C$45:$C$52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'PT_2990_0008'!$A$54:$A$55</f>
            </numRef>
          </cat>
          <val>
            <numRef>
              <f>'PT_2990_0008'!$B$54:$B$55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'PT_2990_0008'!B57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'PT_2990_0008'!$A$58:$A$65</f>
            </numRef>
          </cat>
          <val>
            <numRef>
              <f>'PT_2990_0008'!$B$58:$B$65</f>
            </numRef>
          </val>
        </ser>
        <ser>
          <idx val="1"/>
          <order val="1"/>
          <tx>
            <strRef>
              <f>'PT_2990_0008'!C57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'PT_2990_0008'!$A$58:$A$65</f>
            </numRef>
          </cat>
          <val>
            <numRef>
              <f>'PT_2990_0008'!$C$58:$C$65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'PT_2990_0006'!$A$41:$A$42</f>
            </numRef>
          </cat>
          <val>
            <numRef>
              <f>'PT_2990_0006'!$B$41:$B$42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'PT_2990_0006'!B44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'PT_2990_0006'!$A$45:$A$52</f>
            </numRef>
          </cat>
          <val>
            <numRef>
              <f>'PT_2990_0006'!$B$45:$B$52</f>
            </numRef>
          </val>
        </ser>
        <ser>
          <idx val="1"/>
          <order val="1"/>
          <tx>
            <strRef>
              <f>'PT_2990_0006'!C44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'PT_2990_0006'!$A$45:$A$52</f>
            </numRef>
          </cat>
          <val>
            <numRef>
              <f>'PT_2990_0006'!$C$45:$C$52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'PT_2990_0006'!$A$54:$A$55</f>
            </numRef>
          </cat>
          <val>
            <numRef>
              <f>'PT_2990_0006'!$B$54:$B$55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'PT_2990_0006'!B57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'PT_2990_0006'!$A$58:$A$65</f>
            </numRef>
          </cat>
          <val>
            <numRef>
              <f>'PT_2990_0006'!$B$58:$B$65</f>
            </numRef>
          </val>
        </ser>
        <ser>
          <idx val="1"/>
          <order val="1"/>
          <tx>
            <strRef>
              <f>'PT_2990_0006'!C57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'PT_2990_0006'!$A$58:$A$65</f>
            </numRef>
          </cat>
          <val>
            <numRef>
              <f>'PT_2990_0006'!$C$58:$C$65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'PT_4091_0096'!$A$40:$A$41</f>
            </numRef>
          </cat>
          <val>
            <numRef>
              <f>'PT_4091_0096'!$B$40:$B$41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'PT_4091_0096'!B43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'PT_4091_0096'!$A$44:$A$51</f>
            </numRef>
          </cat>
          <val>
            <numRef>
              <f>'PT_4091_0096'!$B$44:$B$51</f>
            </numRef>
          </val>
        </ser>
        <ser>
          <idx val="1"/>
          <order val="1"/>
          <tx>
            <strRef>
              <f>'PT_4091_0096'!C43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'PT_4091_0096'!$A$44:$A$51</f>
            </numRef>
          </cat>
          <val>
            <numRef>
              <f>'PT_4091_0096'!$C$44:$C$51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'PT_4091_0096'!$A$53:$A$54</f>
            </numRef>
          </cat>
          <val>
            <numRef>
              <f>'PT_4091_0096'!$B$53:$B$54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'PT_4091_0096'!B56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'PT_4091_0096'!$A$57:$A$64</f>
            </numRef>
          </cat>
          <val>
            <numRef>
              <f>'PT_4091_0096'!$B$57:$B$64</f>
            </numRef>
          </val>
        </ser>
        <ser>
          <idx val="1"/>
          <order val="1"/>
          <tx>
            <strRef>
              <f>'PT_4091_0096'!C56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'PT_4091_0096'!$A$57:$A$64</f>
            </numRef>
          </cat>
          <val>
            <numRef>
              <f>'PT_4091_0096'!$C$57:$C$64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'PT_2079_6118'!$A$41:$A$42</f>
            </numRef>
          </cat>
          <val>
            <numRef>
              <f>'PT_2079_6118'!$B$41:$B$42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'PT_2079_6118'!B44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'PT_2079_6118'!$A$45:$A$52</f>
            </numRef>
          </cat>
          <val>
            <numRef>
              <f>'PT_2079_6118'!$B$45:$B$52</f>
            </numRef>
          </val>
        </ser>
        <ser>
          <idx val="1"/>
          <order val="1"/>
          <tx>
            <strRef>
              <f>'PT_2079_6118'!C44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'PT_2079_6118'!$A$45:$A$52</f>
            </numRef>
          </cat>
          <val>
            <numRef>
              <f>'PT_2079_6118'!$C$45:$C$52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'PT_2079_6118'!$A$54:$A$55</f>
            </numRef>
          </cat>
          <val>
            <numRef>
              <f>'PT_2079_6118'!$B$54:$B$55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'PT_2079_6118'!B57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'PT_2079_6118'!$A$58:$A$65</f>
            </numRef>
          </cat>
          <val>
            <numRef>
              <f>'PT_2079_6118'!$B$58:$B$65</f>
            </numRef>
          </val>
        </ser>
        <ser>
          <idx val="1"/>
          <order val="1"/>
          <tx>
            <strRef>
              <f>'PT_2079_6118'!C57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'PT_2079_6118'!$A$58:$A$65</f>
            </numRef>
          </cat>
          <val>
            <numRef>
              <f>'PT_2079_6118'!$C$58:$C$65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'PT_2455_Consolidado'!$A$41:$A$42</f>
            </numRef>
          </cat>
          <val>
            <numRef>
              <f>'PT_2455_Consolidado'!$B$41:$B$42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'PT_2455_Consolidado'!B44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'PT_2455_Consolidado'!$A$45:$A$52</f>
            </numRef>
          </cat>
          <val>
            <numRef>
              <f>'PT_2455_Consolidado'!$B$45:$B$52</f>
            </numRef>
          </val>
        </ser>
        <ser>
          <idx val="1"/>
          <order val="1"/>
          <tx>
            <strRef>
              <f>'PT_2455_Consolidado'!C44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'PT_2455_Consolidado'!$A$45:$A$52</f>
            </numRef>
          </cat>
          <val>
            <numRef>
              <f>'PT_2455_Consolidado'!$C$45:$C$52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'PT_2455_Consolidado'!$A$54:$A$55</f>
            </numRef>
          </cat>
          <val>
            <numRef>
              <f>'PT_2455_Consolidado'!$B$54:$B$55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'PT_2455_Consolidado'!B57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'PT_2455_Consolidado'!$A$58:$A$65</f>
            </numRef>
          </cat>
          <val>
            <numRef>
              <f>'PT_2455_Consolidado'!$B$58:$B$65</f>
            </numRef>
          </val>
        </ser>
        <ser>
          <idx val="1"/>
          <order val="1"/>
          <tx>
            <strRef>
              <f>'PT_2455_Consolidado'!C57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'PT_2455_Consolidado'!$A$58:$A$65</f>
            </numRef>
          </cat>
          <val>
            <numRef>
              <f>'PT_2455_Consolidado'!$C$58:$C$65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Empenhado 2025 × Dotação Autorizada 2026 — por programa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'Consolidado'!C8</f>
            </strRef>
          </tx>
          <spPr>
            <a:ln>
              <a:prstDash val="solid"/>
            </a:ln>
          </spPr>
          <cat>
            <numRef>
              <f>'Consolidado'!$B$9:$B$31</f>
            </numRef>
          </cat>
          <val>
            <numRef>
              <f>'Consolidado'!$C$9:$C$31</f>
            </numRef>
          </val>
        </ser>
        <ser>
          <idx val="1"/>
          <order val="1"/>
          <tx>
            <strRef>
              <f>'Consolidado'!D8</f>
            </strRef>
          </tx>
          <spPr>
            <a:ln>
              <a:prstDash val="solid"/>
            </a:ln>
          </spPr>
          <cat>
            <numRef>
              <f>'Consolidado'!$B$9:$B$31</f>
            </numRef>
          </cat>
          <val>
            <numRef>
              <f>'Consolidado'!$D$9:$D$31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Liquidado acumulado (total) × Dotação total 2026</a:t>
            </a:r>
          </a:p>
        </rich>
      </tx>
    </title>
    <plotArea>
      <lineChart>
        <grouping val="standard"/>
        <ser>
          <idx val="0"/>
          <order val="0"/>
          <tx>
            <strRef>
              <f>'Consolidado'!B63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'Consolidado'!$A$64:$A$71</f>
            </numRef>
          </cat>
          <val>
            <numRef>
              <f>'Consolidado'!$B$64:$B$71</f>
            </numRef>
          </val>
        </ser>
        <ser>
          <idx val="1"/>
          <order val="1"/>
          <tx>
            <strRef>
              <f>'Consolidado'!C63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'Consolidado'!$A$64:$A$71</f>
            </numRef>
          </cat>
          <val>
            <numRef>
              <f>'Consolidado'!$C$64:$C$71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Empenhado 2025 × Dotação Autorizada 2026 — por programa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'Consolidado (Fontes 100-183)'!C8</f>
            </strRef>
          </tx>
          <spPr>
            <a:ln>
              <a:prstDash val="solid"/>
            </a:ln>
          </spPr>
          <cat>
            <numRef>
              <f>'Consolidado (Fontes 100-183)'!$B$9:$B$31</f>
            </numRef>
          </cat>
          <val>
            <numRef>
              <f>'Consolidado (Fontes 100-183)'!$C$9:$C$31</f>
            </numRef>
          </val>
        </ser>
        <ser>
          <idx val="1"/>
          <order val="1"/>
          <tx>
            <strRef>
              <f>'Consolidado (Fontes 100-183)'!D8</f>
            </strRef>
          </tx>
          <spPr>
            <a:ln>
              <a:prstDash val="solid"/>
            </a:ln>
          </spPr>
          <cat>
            <numRef>
              <f>'Consolidado (Fontes 100-183)'!$B$9:$B$31</f>
            </numRef>
          </cat>
          <val>
            <numRef>
              <f>'Consolidado (Fontes 100-183)'!$D$9:$D$31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Liquidado acumulado (total) × Dotação total 2026</a:t>
            </a:r>
          </a:p>
        </rich>
      </tx>
    </title>
    <plotArea>
      <lineChart>
        <grouping val="standard"/>
        <ser>
          <idx val="0"/>
          <order val="0"/>
          <tx>
            <strRef>
              <f>'Consolidado (Fontes 100-183)'!B64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 (Fontes 100-183)'!$A$65:$A$72</f>
            </numRef>
          </cat>
          <val>
            <numRef>
              <f>'Consolidado (Fontes 100-183)'!$B$65:$B$72</f>
            </numRef>
          </val>
        </ser>
        <ser>
          <idx val="1"/>
          <order val="1"/>
          <tx>
            <strRef>
              <f>'Consolidado (Fontes 100-183)'!C64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 (Fontes 100-183)'!$A$65:$A$72</f>
            </numRef>
          </cat>
          <val>
            <numRef>
              <f>'Consolidado (Fontes 100-183)'!$C$65:$C$72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Relationship Type="http://schemas.openxmlformats.org/officeDocument/2006/relationships/chart" Target="/xl/charts/chart16.xml" Id="rId4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Relationship Type="http://schemas.openxmlformats.org/officeDocument/2006/relationships/chart" Target="/xl/charts/chart19.xml" Id="rId3" /><Relationship Type="http://schemas.openxmlformats.org/officeDocument/2006/relationships/chart" Target="/xl/charts/chart20.xml" Id="rId4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5.xml" Id="rId1" /><Relationship Type="http://schemas.openxmlformats.org/officeDocument/2006/relationships/chart" Target="/xl/charts/chart26.xml" Id="rId2" /><Relationship Type="http://schemas.openxmlformats.org/officeDocument/2006/relationships/chart" Target="/xl/charts/chart27.xml" Id="rId3" /><Relationship Type="http://schemas.openxmlformats.org/officeDocument/2006/relationships/chart" Target="/xl/charts/chart28.xml" Id="rId4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9.xml" Id="rId1" /><Relationship Type="http://schemas.openxmlformats.org/officeDocument/2006/relationships/chart" Target="/xl/charts/chart30.xml" Id="rId2" /><Relationship Type="http://schemas.openxmlformats.org/officeDocument/2006/relationships/chart" Target="/xl/charts/chart31.xml" Id="rId3" /><Relationship Type="http://schemas.openxmlformats.org/officeDocument/2006/relationships/chart" Target="/xl/charts/chart32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33.xml" Id="rId1" /><Relationship Type="http://schemas.openxmlformats.org/officeDocument/2006/relationships/chart" Target="/xl/charts/chart34.xml" Id="rId2" /><Relationship Type="http://schemas.openxmlformats.org/officeDocument/2006/relationships/chart" Target="/xl/charts/chart35.xml" Id="rId3" /><Relationship Type="http://schemas.openxmlformats.org/officeDocument/2006/relationships/chart" Target="/xl/charts/chart36.xml" Id="rId4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7.xml" Id="rId1" /><Relationship Type="http://schemas.openxmlformats.org/officeDocument/2006/relationships/chart" Target="/xl/charts/chart38.xml" Id="rId2" /><Relationship Type="http://schemas.openxmlformats.org/officeDocument/2006/relationships/chart" Target="/xl/charts/chart39.xml" Id="rId3" /><Relationship Type="http://schemas.openxmlformats.org/officeDocument/2006/relationships/chart" Target="/xl/charts/chart40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45.xml" Id="rId1" /><Relationship Type="http://schemas.openxmlformats.org/officeDocument/2006/relationships/chart" Target="/xl/charts/chart46.xml" Id="rId2" /><Relationship Type="http://schemas.openxmlformats.org/officeDocument/2006/relationships/chart" Target="/xl/charts/chart47.xml" Id="rId3" /><Relationship Type="http://schemas.openxmlformats.org/officeDocument/2006/relationships/chart" Target="/xl/charts/chart48.xml" Id="rId4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9.xml" Id="rId1" /><Relationship Type="http://schemas.openxmlformats.org/officeDocument/2006/relationships/chart" Target="/xl/charts/chart50.xml" Id="rId2" /><Relationship Type="http://schemas.openxmlformats.org/officeDocument/2006/relationships/chart" Target="/xl/charts/chart51.xml" Id="rId3" /><Relationship Type="http://schemas.openxmlformats.org/officeDocument/2006/relationships/chart" Target="/xl/charts/chart52.xml" Id="rId4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53.xml" Id="rId1" /><Relationship Type="http://schemas.openxmlformats.org/officeDocument/2006/relationships/chart" Target="/xl/charts/chart54.xml" Id="rId2" /><Relationship Type="http://schemas.openxmlformats.org/officeDocument/2006/relationships/chart" Target="/xl/charts/chart55.xml" Id="rId3" /><Relationship Type="http://schemas.openxmlformats.org/officeDocument/2006/relationships/chart" Target="/xl/charts/chart56.xml" Id="rId4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57.xml" Id="rId1" /><Relationship Type="http://schemas.openxmlformats.org/officeDocument/2006/relationships/chart" Target="/xl/charts/chart58.xml" Id="rId2" /><Relationship Type="http://schemas.openxmlformats.org/officeDocument/2006/relationships/chart" Target="/xl/charts/chart59.xml" Id="rId3" /><Relationship Type="http://schemas.openxmlformats.org/officeDocument/2006/relationships/chart" Target="/xl/charts/chart60.xml" Id="rId4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65.xml" Id="rId1" /><Relationship Type="http://schemas.openxmlformats.org/officeDocument/2006/relationships/chart" Target="/xl/charts/chart66.xml" Id="rId2" /><Relationship Type="http://schemas.openxmlformats.org/officeDocument/2006/relationships/chart" Target="/xl/charts/chart67.xml" Id="rId3" /><Relationship Type="http://schemas.openxmlformats.org/officeDocument/2006/relationships/chart" Target="/xl/charts/chart68.xml" Id="rId4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69.xml" Id="rId1" /><Relationship Type="http://schemas.openxmlformats.org/officeDocument/2006/relationships/chart" Target="/xl/charts/chart70.xml" Id="rId2" /><Relationship Type="http://schemas.openxmlformats.org/officeDocument/2006/relationships/chart" Target="/xl/charts/chart71.xml" Id="rId3" /><Relationship Type="http://schemas.openxmlformats.org/officeDocument/2006/relationships/chart" Target="/xl/charts/chart72.xml" Id="rId4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73.xml" Id="rId1" /><Relationship Type="http://schemas.openxmlformats.org/officeDocument/2006/relationships/chart" Target="/xl/charts/chart74.xml" Id="rId2" /><Relationship Type="http://schemas.openxmlformats.org/officeDocument/2006/relationships/chart" Target="/xl/charts/chart75.xml" Id="rId3" /><Relationship Type="http://schemas.openxmlformats.org/officeDocument/2006/relationships/chart" Target="/xl/charts/chart76.xml" Id="rId4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77.xml" Id="rId1" /><Relationship Type="http://schemas.openxmlformats.org/officeDocument/2006/relationships/chart" Target="/xl/charts/chart78.xml" Id="rId2" /><Relationship Type="http://schemas.openxmlformats.org/officeDocument/2006/relationships/chart" Target="/xl/charts/chart79.xml" Id="rId3" /><Relationship Type="http://schemas.openxmlformats.org/officeDocument/2006/relationships/chart" Target="/xl/charts/chart80.xml" Id="rId4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81.xml" Id="rId1" /><Relationship Type="http://schemas.openxmlformats.org/officeDocument/2006/relationships/chart" Target="/xl/charts/chart82.xml" Id="rId2" /><Relationship Type="http://schemas.openxmlformats.org/officeDocument/2006/relationships/chart" Target="/xl/charts/chart83.xml" Id="rId3" /><Relationship Type="http://schemas.openxmlformats.org/officeDocument/2006/relationships/chart" Target="/xl/charts/chart84.xml" Id="rId4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85.xml" Id="rId1" /><Relationship Type="http://schemas.openxmlformats.org/officeDocument/2006/relationships/chart" Target="/xl/charts/chart86.xml" Id="rId2" /><Relationship Type="http://schemas.openxmlformats.org/officeDocument/2006/relationships/chart" Target="/xl/charts/chart87.xml" Id="rId3" /><Relationship Type="http://schemas.openxmlformats.org/officeDocument/2006/relationships/chart" Target="/xl/charts/chart88.xml" Id="rId4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89.xml" Id="rId1" /><Relationship Type="http://schemas.openxmlformats.org/officeDocument/2006/relationships/chart" Target="/xl/charts/chart90.xml" Id="rId2" /><Relationship Type="http://schemas.openxmlformats.org/officeDocument/2006/relationships/chart" Target="/xl/charts/chart91.xml" Id="rId3" /><Relationship Type="http://schemas.openxmlformats.org/officeDocument/2006/relationships/chart" Target="/xl/charts/chart92.xml" Id="rId4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93.xml" Id="rId1" /><Relationship Type="http://schemas.openxmlformats.org/officeDocument/2006/relationships/chart" Target="/xl/charts/chart94.xml" Id="rId2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95.xml" Id="rId1" /><Relationship Type="http://schemas.openxmlformats.org/officeDocument/2006/relationships/chart" Target="/xl/charts/chart9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61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62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45" customWidth="1" min="4" max="4"/>
    <col width="9" customWidth="1" min="5" max="5"/>
    <col width="12" customWidth="1" min="6" max="6"/>
    <col width="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inlineStr">
        <is>
          <t>2025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2026</t>
        </is>
      </c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1" t="n"/>
      <c r="B2" s="1" t="n"/>
      <c r="C2" s="1" t="n"/>
      <c r="D2" s="1" t="n"/>
      <c r="E2" s="1" t="n"/>
      <c r="F2" s="1" t="n"/>
      <c r="G2" s="1" t="n"/>
      <c r="H2" s="1" t="inlineStr">
        <is>
          <t>LEI</t>
        </is>
      </c>
      <c r="I2" s="1" t="inlineStr">
        <is>
          <t>ALTERAÇÃO</t>
        </is>
      </c>
      <c r="J2" s="1" t="inlineStr">
        <is>
          <t>COTA</t>
        </is>
      </c>
      <c r="K2" s="1" t="inlineStr">
        <is>
          <t>CONTINGENCIADO</t>
        </is>
      </c>
      <c r="L2" s="1" t="inlineStr">
        <is>
          <t>DESP AUT.</t>
        </is>
      </c>
      <c r="M2" s="1" t="inlineStr">
        <is>
          <t>EMPENHADO</t>
        </is>
      </c>
      <c r="N2" s="1" t="inlineStr">
        <is>
          <t>LIQUIDADO</t>
        </is>
      </c>
      <c r="O2" s="1" t="inlineStr">
        <is>
          <t>DISPONÍVEL</t>
        </is>
      </c>
      <c r="P2" s="1" t="inlineStr">
        <is>
          <t>Dotação Autorizada SUM</t>
        </is>
      </c>
      <c r="Q2" s="1" t="inlineStr">
        <is>
          <t>LEI</t>
        </is>
      </c>
      <c r="R2" s="1" t="inlineStr">
        <is>
          <t>ALTERAÇÃO</t>
        </is>
      </c>
      <c r="S2" s="1" t="inlineStr">
        <is>
          <t>COTA</t>
        </is>
      </c>
      <c r="T2" s="1" t="inlineStr">
        <is>
          <t>CONTINGENCIADO</t>
        </is>
      </c>
      <c r="U2" s="1" t="inlineStr">
        <is>
          <t>DESP AUT.</t>
        </is>
      </c>
      <c r="V2" s="1" t="inlineStr">
        <is>
          <t>EMPENHADO</t>
        </is>
      </c>
      <c r="W2" s="1" t="inlineStr">
        <is>
          <t>LIQUIDADO</t>
        </is>
      </c>
      <c r="X2" s="1" t="inlineStr">
        <is>
          <t>DISPONÍVEL</t>
        </is>
      </c>
      <c r="Y2" s="1" t="inlineStr">
        <is>
          <t>Dotação Autorizada SUM</t>
        </is>
      </c>
    </row>
    <row r="3">
      <c r="A3" s="2" t="inlineStr">
        <is>
          <t>22214.0</t>
        </is>
      </c>
      <c r="B3" s="2" t="inlineStr">
        <is>
          <t xml:space="preserve">SERVIÇO DE LIMPEZA URBANA </t>
        </is>
      </c>
      <c r="C3" s="2" t="inlineStr">
        <is>
          <t>15.452.6209.2079.6118</t>
        </is>
      </c>
      <c r="D3" s="2" t="inlineStr">
        <is>
          <t>MANUTENÇÃO DAS ATIVIDADES DE LIMPEZA PÚBLICA--DISTRITO FEDERAL</t>
        </is>
      </c>
      <c r="E3" s="2" t="inlineStr">
        <is>
          <t>339039</t>
        </is>
      </c>
      <c r="F3" s="2" t="inlineStr">
        <is>
          <t>100000000</t>
        </is>
      </c>
      <c r="G3" s="2" t="inlineStr">
        <is>
          <t>0</t>
        </is>
      </c>
      <c r="H3" s="3" t="n">
        <v>314704002</v>
      </c>
      <c r="I3" s="3" t="n">
        <v>5332487.47</v>
      </c>
      <c r="J3" s="3" t="n">
        <v>0.83</v>
      </c>
      <c r="K3" s="3" t="n">
        <v>0</v>
      </c>
      <c r="L3" s="3" t="n">
        <v>320036488.64</v>
      </c>
      <c r="M3" s="3" t="n">
        <v>320036487.73</v>
      </c>
      <c r="N3" s="3" t="n">
        <v>319008590.33</v>
      </c>
      <c r="O3" s="3" t="n">
        <v>0.91</v>
      </c>
      <c r="P3" s="3" t="n">
        <v>320036489.47</v>
      </c>
      <c r="Q3" s="3" t="n">
        <v>514494894</v>
      </c>
      <c r="R3" s="3" t="n">
        <v>-118848313.25</v>
      </c>
      <c r="S3" s="3" t="n">
        <v>0</v>
      </c>
      <c r="T3" s="3" t="n">
        <v>0</v>
      </c>
      <c r="U3" s="3" t="n">
        <v>395646580.75</v>
      </c>
      <c r="V3" s="3" t="n">
        <v>395642832.94</v>
      </c>
      <c r="W3" s="3" t="n">
        <v>390540230.32</v>
      </c>
      <c r="X3" s="3" t="n">
        <v>3747.81</v>
      </c>
      <c r="Y3" s="3" t="n">
        <v>395646580.75</v>
      </c>
    </row>
    <row r="4">
      <c r="A4" s="2" t="inlineStr">
        <is>
          <t>22201.0</t>
        </is>
      </c>
      <c r="B4" s="2" t="inlineStr">
        <is>
          <t xml:space="preserve">COMPANHIA URBANIZADORA DA NOVA CAPITAL </t>
        </is>
      </c>
      <c r="C4" s="2" t="inlineStr">
        <is>
          <t>15.452.6209.8508.0002</t>
        </is>
      </c>
      <c r="D4" s="2" t="inlineStr">
        <is>
          <t>MANUTENÇÃO DE ÁREAS URBANIZADAS E AJARDINADAS-MANUTENÇÃO DE VIAS PÚBLICAS-DISTRITO FEDERAL</t>
        </is>
      </c>
      <c r="E4" s="2" t="inlineStr">
        <is>
          <t>339033</t>
        </is>
      </c>
      <c r="F4" s="2" t="inlineStr">
        <is>
          <t>100000000</t>
        </is>
      </c>
      <c r="G4" s="2" t="inlineStr">
        <is>
          <t>0</t>
        </is>
      </c>
      <c r="H4" s="3" t="n">
        <v>3000000</v>
      </c>
      <c r="I4" s="3" t="n">
        <v>6544698.42</v>
      </c>
      <c r="J4" s="3" t="n">
        <v>0</v>
      </c>
      <c r="K4" s="3" t="n">
        <v>0</v>
      </c>
      <c r="L4" s="3" t="n">
        <v>9544698.42</v>
      </c>
      <c r="M4" s="3" t="n">
        <v>9543655.1</v>
      </c>
      <c r="N4" s="3" t="n">
        <v>9074959.77</v>
      </c>
      <c r="O4" s="3" t="n">
        <v>1043.32</v>
      </c>
      <c r="P4" s="3" t="n">
        <v>9544698.42</v>
      </c>
      <c r="Q4" s="3" t="n">
        <v>3536335</v>
      </c>
      <c r="R4" s="3" t="n">
        <v>4008845.33</v>
      </c>
      <c r="S4" s="3" t="n">
        <v>0</v>
      </c>
      <c r="T4" s="3" t="n">
        <v>0</v>
      </c>
      <c r="U4" s="3" t="n">
        <v>7545180.33</v>
      </c>
      <c r="V4" s="3" t="n">
        <v>7545180.33</v>
      </c>
      <c r="W4" s="3" t="n">
        <v>7435763.33</v>
      </c>
      <c r="X4" s="3" t="n">
        <v>0</v>
      </c>
      <c r="Y4" s="3" t="n">
        <v>7545180.33</v>
      </c>
    </row>
    <row r="5">
      <c r="A5" s="2" t="inlineStr">
        <is>
          <t>22201.0</t>
        </is>
      </c>
      <c r="B5" s="2" t="inlineStr">
        <is>
          <t xml:space="preserve">COMPANHIA URBANIZADORA DA NOVA CAPITAL </t>
        </is>
      </c>
      <c r="C5" s="2" t="inlineStr">
        <is>
          <t>15.452.6209.8508.0002</t>
        </is>
      </c>
      <c r="D5" s="2" t="inlineStr">
        <is>
          <t>MANUTENÇÃO DE ÁREAS URBANIZADAS E AJARDINADAS-MANUTENÇÃO DE VIAS PÚBLICAS-DISTRITO FEDERAL</t>
        </is>
      </c>
      <c r="E5" s="2" t="inlineStr">
        <is>
          <t>339030</t>
        </is>
      </c>
      <c r="F5" s="2" t="inlineStr">
        <is>
          <t>101000000</t>
        </is>
      </c>
      <c r="G5" s="2" t="inlineStr">
        <is>
          <t>0</t>
        </is>
      </c>
      <c r="H5" s="3" t="n">
        <v>0</v>
      </c>
      <c r="I5" s="3" t="n">
        <v>302816.1</v>
      </c>
      <c r="J5" s="3" t="n">
        <v>0</v>
      </c>
      <c r="K5" s="3" t="n">
        <v>0</v>
      </c>
      <c r="L5" s="3" t="n">
        <v>302816.1</v>
      </c>
      <c r="M5" s="3" t="n">
        <v>302816.1</v>
      </c>
      <c r="N5" s="3" t="n">
        <v>199957.84</v>
      </c>
      <c r="O5" s="3" t="n">
        <v>0</v>
      </c>
      <c r="P5" s="3" t="n">
        <v>302816.1</v>
      </c>
      <c r="Q5" s="3" t="n">
        <v>0</v>
      </c>
      <c r="R5" s="3" t="n">
        <v>300000</v>
      </c>
      <c r="S5" s="3" t="n">
        <v>0</v>
      </c>
      <c r="T5" s="3" t="n">
        <v>0</v>
      </c>
      <c r="U5" s="3" t="n">
        <v>300000</v>
      </c>
      <c r="V5" s="3" t="n">
        <v>300000</v>
      </c>
      <c r="W5" s="3" t="n">
        <v>0</v>
      </c>
      <c r="X5" s="3" t="n">
        <v>0</v>
      </c>
      <c r="Y5" s="3" t="n">
        <v>300000</v>
      </c>
    </row>
    <row r="6">
      <c r="A6" s="2" t="inlineStr">
        <is>
          <t>23901.0</t>
        </is>
      </c>
      <c r="B6" s="2" t="inlineStr">
        <is>
          <t>FUNDO DE SAÚDE DO DISTRITO FEDERAL</t>
        </is>
      </c>
      <c r="C6" s="2" t="inlineStr">
        <is>
          <t>10.302.6202.4206.0002</t>
        </is>
      </c>
      <c r="D6" s="2" t="inlineStr">
        <is>
          <t>EXECUÇÃO DE CONTRATOS DE GESTÃO-HOSPITAL DA CRIANÇA DE BRASÍLIA JOSÉ ALENCAR - HCB-DISTRITO FEDERAL</t>
        </is>
      </c>
      <c r="E6" s="2" t="inlineStr">
        <is>
          <t>335085</t>
        </is>
      </c>
      <c r="F6" s="2" t="inlineStr">
        <is>
          <t>138000000</t>
        </is>
      </c>
      <c r="G6" s="2" t="inlineStr">
        <is>
          <t>0</t>
        </is>
      </c>
      <c r="H6" s="3" t="n">
        <v>7555485</v>
      </c>
      <c r="I6" s="3" t="n">
        <v>0</v>
      </c>
      <c r="J6" s="3" t="n">
        <v>0</v>
      </c>
      <c r="K6" s="3" t="n">
        <v>0</v>
      </c>
      <c r="L6" s="3" t="n">
        <v>7555485</v>
      </c>
      <c r="M6" s="3" t="n">
        <v>7555485</v>
      </c>
      <c r="N6" s="3" t="n">
        <v>7555485</v>
      </c>
      <c r="O6" s="3" t="n">
        <v>0</v>
      </c>
      <c r="P6" s="3" t="n">
        <v>7555485</v>
      </c>
      <c r="Q6" s="3" t="n">
        <v>10060086</v>
      </c>
      <c r="R6" s="3" t="n">
        <v>0</v>
      </c>
      <c r="S6" s="3" t="n">
        <v>0</v>
      </c>
      <c r="T6" s="3" t="n">
        <v>0</v>
      </c>
      <c r="U6" s="3" t="n">
        <v>10060086</v>
      </c>
      <c r="V6" s="3" t="n">
        <v>10060086</v>
      </c>
      <c r="W6" s="3" t="n">
        <v>10060086</v>
      </c>
      <c r="X6" s="3" t="n">
        <v>0</v>
      </c>
      <c r="Y6" s="3" t="n">
        <v>10060086</v>
      </c>
    </row>
    <row r="7">
      <c r="A7" s="2" t="inlineStr">
        <is>
          <t>22201.0</t>
        </is>
      </c>
      <c r="B7" s="2" t="inlineStr">
        <is>
          <t xml:space="preserve">COMPANHIA URBANIZADORA DA NOVA CAPITAL </t>
        </is>
      </c>
      <c r="C7" s="2" t="inlineStr">
        <is>
          <t>17.512.6209.2903.0001</t>
        </is>
      </c>
      <c r="D7" s="2" t="inlineStr">
        <is>
          <t>MANUTENÇÃO DE REDES DE ÁGUAS PLUVIAIS--DISTRITO FEDERAL</t>
        </is>
      </c>
      <c r="E7" s="2" t="inlineStr">
        <is>
          <t>339039</t>
        </is>
      </c>
      <c r="F7" s="2" t="inlineStr">
        <is>
          <t>100000000</t>
        </is>
      </c>
      <c r="G7" s="2" t="inlineStr">
        <is>
          <t>0</t>
        </is>
      </c>
      <c r="H7" s="3" t="n">
        <v>16000000</v>
      </c>
      <c r="I7" s="3" t="n">
        <v>157987031.55</v>
      </c>
      <c r="J7" s="3" t="n">
        <v>0</v>
      </c>
      <c r="K7" s="3" t="n">
        <v>0</v>
      </c>
      <c r="L7" s="3" t="n">
        <v>173987031.55</v>
      </c>
      <c r="M7" s="3" t="n">
        <v>173987030.8</v>
      </c>
      <c r="N7" s="3" t="n">
        <v>169019367.73</v>
      </c>
      <c r="O7" s="3" t="n">
        <v>0.75</v>
      </c>
      <c r="P7" s="3" t="n">
        <v>173987031.55</v>
      </c>
      <c r="Q7" s="3" t="n">
        <v>16000000</v>
      </c>
      <c r="R7" s="3" t="n">
        <v>67652108.63</v>
      </c>
      <c r="S7" s="3" t="n">
        <v>0</v>
      </c>
      <c r="T7" s="3" t="n">
        <v>0</v>
      </c>
      <c r="U7" s="3" t="n">
        <v>83652108.63</v>
      </c>
      <c r="V7" s="3" t="n">
        <v>83551283.55</v>
      </c>
      <c r="W7" s="3" t="n">
        <v>61991224</v>
      </c>
      <c r="X7" s="3" t="n">
        <v>100825.08</v>
      </c>
      <c r="Y7" s="3" t="n">
        <v>83652108.63</v>
      </c>
    </row>
    <row r="8">
      <c r="A8" s="2" t="inlineStr">
        <is>
          <t>26206.0</t>
        </is>
      </c>
      <c r="B8" s="2" t="inlineStr">
        <is>
          <t>COMPANHIA DO METROPOLITANO DO DISTRITO FEDERAL</t>
        </is>
      </c>
      <c r="C8" s="2" t="inlineStr">
        <is>
          <t>26.453.6216.2756.6137</t>
        </is>
      </c>
      <c r="D8" s="2" t="inlineStr">
        <is>
          <t>MANUTENÇÃO E FUNCIONAMENTO DO SISTEMA FERROVIÁRIO-DF</t>
        </is>
      </c>
      <c r="E8" s="2" t="inlineStr">
        <is>
          <t>339030</t>
        </is>
      </c>
      <c r="F8" s="2" t="inlineStr">
        <is>
          <t>220000000</t>
        </is>
      </c>
      <c r="G8" s="2" t="inlineStr">
        <is>
          <t>0</t>
        </is>
      </c>
      <c r="H8" s="3" t="n">
        <v>4000000</v>
      </c>
      <c r="I8" s="3" t="n">
        <v>-2251557.71</v>
      </c>
      <c r="J8" s="3" t="n">
        <v>0</v>
      </c>
      <c r="K8" s="3" t="n">
        <v>0</v>
      </c>
      <c r="L8" s="3" t="n">
        <v>1748442.29</v>
      </c>
      <c r="M8" s="3" t="n">
        <v>1748442.29</v>
      </c>
      <c r="N8" s="3" t="n">
        <v>1748442.29</v>
      </c>
      <c r="O8" s="3" t="n">
        <v>0</v>
      </c>
      <c r="P8" s="3" t="n">
        <v>1748442.29</v>
      </c>
      <c r="Q8" s="3" t="n">
        <v>0</v>
      </c>
      <c r="R8" s="3" t="n">
        <v>48261.38</v>
      </c>
      <c r="S8" s="3" t="n">
        <v>0</v>
      </c>
      <c r="T8" s="3" t="n">
        <v>0</v>
      </c>
      <c r="U8" s="3" t="n">
        <v>48261.38</v>
      </c>
      <c r="V8" s="3" t="n">
        <v>48261.38</v>
      </c>
      <c r="W8" s="3" t="n">
        <v>22281.38</v>
      </c>
      <c r="X8" s="3" t="n">
        <v>0</v>
      </c>
      <c r="Y8" s="3" t="n">
        <v>48261.38</v>
      </c>
    </row>
    <row r="9">
      <c r="A9" s="2" t="inlineStr">
        <is>
          <t>26205.0</t>
        </is>
      </c>
      <c r="B9" s="2" t="inlineStr">
        <is>
          <t>DEPARTAMENTO DE ESTRADAS DE RODAGEM</t>
        </is>
      </c>
      <c r="C9" s="2" t="inlineStr">
        <is>
          <t>26.782.6216.2885.0001</t>
        </is>
      </c>
      <c r="D9" s="2" t="inlineStr">
        <is>
          <t>MANUTENÇÃO DE MÁQUINAS E EQUIPAMENTOS-LEVES E PESADOS - DER-DF-DISTRITO FEDERAL</t>
        </is>
      </c>
      <c r="E9" s="2" t="inlineStr">
        <is>
          <t>339039</t>
        </is>
      </c>
      <c r="F9" s="2" t="inlineStr">
        <is>
          <t>100000000</t>
        </is>
      </c>
      <c r="G9" s="2" t="inlineStr">
        <is>
          <t>0</t>
        </is>
      </c>
      <c r="H9" s="3" t="n">
        <v>600000</v>
      </c>
      <c r="I9" s="3" t="n">
        <v>-298561</v>
      </c>
      <c r="J9" s="3" t="n">
        <v>0.04</v>
      </c>
      <c r="K9" s="3" t="n">
        <v>0</v>
      </c>
      <c r="L9" s="3" t="n">
        <v>301438.96</v>
      </c>
      <c r="M9" s="3" t="n">
        <v>286707.56</v>
      </c>
      <c r="N9" s="3" t="n">
        <v>286707.56</v>
      </c>
      <c r="O9" s="3" t="n">
        <v>14731.4</v>
      </c>
      <c r="P9" s="3" t="n">
        <v>301439</v>
      </c>
      <c r="Q9" s="3" t="n">
        <v>3000000</v>
      </c>
      <c r="R9" s="3" t="n">
        <v>-1866795.96</v>
      </c>
      <c r="S9" s="3" t="n">
        <v>322072.67</v>
      </c>
      <c r="T9" s="3" t="n">
        <v>0</v>
      </c>
      <c r="U9" s="3" t="n">
        <v>811131.37</v>
      </c>
      <c r="V9" s="3" t="n">
        <v>389858.01</v>
      </c>
      <c r="W9" s="3" t="n">
        <v>201087.32</v>
      </c>
      <c r="X9" s="3" t="n">
        <v>421273.36</v>
      </c>
      <c r="Y9" s="3" t="n">
        <v>1133204.04</v>
      </c>
    </row>
    <row r="10">
      <c r="A10" s="2" t="inlineStr">
        <is>
          <t>19101.0</t>
        </is>
      </c>
      <c r="B10" s="2" t="inlineStr">
        <is>
          <t xml:space="preserve">SECRETARIA DE ESTADO DE ECONOMIA  DO DISTRITO FEDERAL                                                                                                 </t>
        </is>
      </c>
      <c r="C10" s="2" t="inlineStr">
        <is>
          <t>04.122.8203.2422.0006</t>
        </is>
      </c>
      <c r="D10" s="2" t="inlineStr">
        <is>
          <t>CONCESSÃO DE BOLSA ESTÁGIO-DISTRITO FEDERAL-DISTRITO FEDERAL</t>
        </is>
      </c>
      <c r="E10" s="2" t="inlineStr">
        <is>
          <t>339039</t>
        </is>
      </c>
      <c r="F10" s="2" t="inlineStr">
        <is>
          <t>100000000</t>
        </is>
      </c>
      <c r="G10" s="2" t="inlineStr">
        <is>
          <t>0</t>
        </is>
      </c>
      <c r="H10" s="3" t="n">
        <v>35258996</v>
      </c>
      <c r="I10" s="3" t="n">
        <v>-20111401</v>
      </c>
      <c r="J10" s="3" t="n">
        <v>0</v>
      </c>
      <c r="K10" s="3" t="n">
        <v>0.66</v>
      </c>
      <c r="L10" s="3" t="n">
        <v>15147594.34</v>
      </c>
      <c r="M10" s="3" t="n">
        <v>13284259.79</v>
      </c>
      <c r="N10" s="3" t="n">
        <v>11284259.79</v>
      </c>
      <c r="O10" s="3" t="n">
        <v>1863334.55</v>
      </c>
      <c r="P10" s="3" t="n">
        <v>15147595</v>
      </c>
      <c r="Q10" s="3" t="n">
        <v>32500000</v>
      </c>
      <c r="R10" s="3" t="n">
        <v>-12025673</v>
      </c>
      <c r="S10" s="3" t="n">
        <v>0.78</v>
      </c>
      <c r="T10" s="3" t="n">
        <v>1.02</v>
      </c>
      <c r="U10" s="3" t="n">
        <v>20474325.2</v>
      </c>
      <c r="V10" s="3" t="n">
        <v>20473785.88</v>
      </c>
      <c r="W10" s="3" t="n">
        <v>5922520.01</v>
      </c>
      <c r="X10" s="3" t="n">
        <v>539.3200000000001</v>
      </c>
      <c r="Y10" s="3" t="n">
        <v>20474327</v>
      </c>
    </row>
    <row r="11">
      <c r="A11" s="2" t="inlineStr">
        <is>
          <t>22214.0</t>
        </is>
      </c>
      <c r="B11" s="2" t="inlineStr">
        <is>
          <t xml:space="preserve">SERVIÇO DE LIMPEZA URBANA </t>
        </is>
      </c>
      <c r="C11" s="2" t="inlineStr">
        <is>
          <t>15.452.6209.2079.6118</t>
        </is>
      </c>
      <c r="D11" s="2" t="inlineStr">
        <is>
          <t>MANUTENÇÃO DAS ATIVIDADES DE LIMPEZA PÚBLICA--DISTRITO FEDERAL</t>
        </is>
      </c>
      <c r="E11" s="2" t="inlineStr">
        <is>
          <t>339039</t>
        </is>
      </c>
      <c r="F11" s="2" t="inlineStr">
        <is>
          <t>114000000</t>
        </is>
      </c>
      <c r="G11" s="2" t="inlineStr">
        <is>
          <t>0</t>
        </is>
      </c>
      <c r="H11" s="3" t="n">
        <v>194965107</v>
      </c>
      <c r="I11" s="3" t="n">
        <v>-15698960</v>
      </c>
      <c r="J11" s="3" t="n">
        <v>0</v>
      </c>
      <c r="K11" s="3" t="n">
        <v>0</v>
      </c>
      <c r="L11" s="3" t="n">
        <v>179266147</v>
      </c>
      <c r="M11" s="3" t="n">
        <v>177738006.64</v>
      </c>
      <c r="N11" s="3" t="n">
        <v>168161226.09</v>
      </c>
      <c r="O11" s="3" t="n">
        <v>1528140.36</v>
      </c>
      <c r="P11" s="3" t="n">
        <v>179266147</v>
      </c>
      <c r="Q11" s="3" t="n">
        <v>202034548</v>
      </c>
      <c r="R11" s="3" t="n">
        <v>-18000000</v>
      </c>
      <c r="S11" s="3" t="n">
        <v>0</v>
      </c>
      <c r="T11" s="3" t="n">
        <v>71296052.55</v>
      </c>
      <c r="U11" s="3" t="n">
        <v>112738495.45</v>
      </c>
      <c r="V11" s="3" t="n">
        <v>105684343.21</v>
      </c>
      <c r="W11" s="3" t="n">
        <v>82644505.69</v>
      </c>
      <c r="X11" s="3" t="n">
        <v>7054152.24</v>
      </c>
      <c r="Y11" s="3" t="n">
        <v>184034548</v>
      </c>
    </row>
    <row r="12">
      <c r="A12" s="2" t="inlineStr">
        <is>
          <t>19101.0</t>
        </is>
      </c>
      <c r="B12" s="2" t="inlineStr">
        <is>
          <t xml:space="preserve">SECRETARIA DE ESTADO DE ECONOMIA  DO DISTRITO FEDERAL                                                                                                 </t>
        </is>
      </c>
      <c r="C12" s="2" t="inlineStr">
        <is>
          <t>04.122.0001.9126.0001</t>
        </is>
      </c>
      <c r="D12" s="2" t="inlineStr">
        <is>
          <t>APORTE  DA CONTRIBUIÇÃO MENSAL DO GOVERNO DO DISTR - DISTRITO FEDERAL</t>
        </is>
      </c>
      <c r="E12" s="2" t="inlineStr">
        <is>
          <t>339108</t>
        </is>
      </c>
      <c r="F12" s="2" t="inlineStr">
        <is>
          <t>101000000</t>
        </is>
      </c>
      <c r="G12" s="2" t="inlineStr">
        <is>
          <t>0</t>
        </is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106000000</v>
      </c>
      <c r="R12" s="3" t="n">
        <v>-38602586</v>
      </c>
      <c r="S12" s="3" t="n">
        <v>0</v>
      </c>
      <c r="T12" s="3" t="n">
        <v>19143156.7</v>
      </c>
      <c r="U12" s="3" t="n">
        <v>48254257.3</v>
      </c>
      <c r="V12" s="3" t="n">
        <v>48254257.3</v>
      </c>
      <c r="W12" s="3" t="n">
        <v>48254257.3</v>
      </c>
      <c r="X12" s="3" t="n">
        <v>0</v>
      </c>
      <c r="Y12" s="3" t="n">
        <v>67397414</v>
      </c>
    </row>
    <row r="13">
      <c r="A13" s="2" t="inlineStr">
        <is>
          <t>22201.0</t>
        </is>
      </c>
      <c r="B13" s="2" t="inlineStr">
        <is>
          <t xml:space="preserve">COMPANHIA URBANIZADORA DA NOVA CAPITAL </t>
        </is>
      </c>
      <c r="C13" s="2" t="inlineStr">
        <is>
          <t>15.452.6209.8508.0002</t>
        </is>
      </c>
      <c r="D13" s="2" t="inlineStr">
        <is>
          <t>MANUTENÇÃO DE ÁREAS URBANIZADAS E AJARDINADAS-MANUTENÇÃO DE VIAS PÚBLICAS-DISTRITO FEDERAL</t>
        </is>
      </c>
      <c r="E13" s="2" t="inlineStr">
        <is>
          <t>449092</t>
        </is>
      </c>
      <c r="F13" s="2" t="inlineStr">
        <is>
          <t>100000000</t>
        </is>
      </c>
      <c r="G13" s="2" t="inlineStr">
        <is>
          <t>0</t>
        </is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17662009.7</v>
      </c>
      <c r="S13" s="3" t="n">
        <v>0</v>
      </c>
      <c r="T13" s="3" t="n">
        <v>0</v>
      </c>
      <c r="U13" s="3" t="n">
        <v>17662009.7</v>
      </c>
      <c r="V13" s="3" t="n">
        <v>17662009.7</v>
      </c>
      <c r="W13" s="3" t="n">
        <v>17173863.55</v>
      </c>
      <c r="X13" s="3" t="n">
        <v>0</v>
      </c>
      <c r="Y13" s="3" t="n">
        <v>17662009.7</v>
      </c>
    </row>
    <row r="14">
      <c r="A14" s="2" t="inlineStr">
        <is>
          <t>22201.0</t>
        </is>
      </c>
      <c r="B14" s="2" t="inlineStr">
        <is>
          <t xml:space="preserve">COMPANHIA URBANIZADORA DA NOVA CAPITAL </t>
        </is>
      </c>
      <c r="C14" s="2" t="inlineStr">
        <is>
          <t>15.452.6209.8508.0002</t>
        </is>
      </c>
      <c r="D14" s="2" t="inlineStr">
        <is>
          <t>MANUTENÇÃO DE ÁREAS URBANIZADAS E AJARDINADAS-MANUTENÇÃO DE VIAS PÚBLICAS-DISTRITO FEDERAL</t>
        </is>
      </c>
      <c r="E14" s="2" t="inlineStr">
        <is>
          <t>339039</t>
        </is>
      </c>
      <c r="F14" s="2" t="inlineStr">
        <is>
          <t>101000000</t>
        </is>
      </c>
      <c r="G14" s="2" t="inlineStr">
        <is>
          <t>0</t>
        </is>
      </c>
      <c r="H14" s="3" t="n">
        <v>0</v>
      </c>
      <c r="I14" s="3" t="n">
        <v>19967917.71</v>
      </c>
      <c r="J14" s="3" t="n">
        <v>0</v>
      </c>
      <c r="K14" s="3" t="n">
        <v>0</v>
      </c>
      <c r="L14" s="3" t="n">
        <v>19967917.71</v>
      </c>
      <c r="M14" s="3" t="n">
        <v>19957526.6</v>
      </c>
      <c r="N14" s="3" t="n">
        <v>19890587.64</v>
      </c>
      <c r="O14" s="3" t="n">
        <v>10391.11</v>
      </c>
      <c r="P14" s="3" t="n">
        <v>19967917.71</v>
      </c>
      <c r="Q14" s="3" t="n">
        <v>0</v>
      </c>
      <c r="R14" s="3" t="n">
        <v>166337.97</v>
      </c>
      <c r="S14" s="3" t="n">
        <v>0</v>
      </c>
      <c r="T14" s="3" t="n">
        <v>0</v>
      </c>
      <c r="U14" s="3" t="n">
        <v>166337.97</v>
      </c>
      <c r="V14" s="3" t="n">
        <v>108473.4</v>
      </c>
      <c r="W14" s="3" t="n">
        <v>0</v>
      </c>
      <c r="X14" s="3" t="n">
        <v>57864.57</v>
      </c>
      <c r="Y14" s="3" t="n">
        <v>166337.97</v>
      </c>
    </row>
    <row r="15">
      <c r="A15" s="2" t="inlineStr">
        <is>
          <t>22201.0</t>
        </is>
      </c>
      <c r="B15" s="2" t="inlineStr">
        <is>
          <t xml:space="preserve">COMPANHIA URBANIZADORA DA NOVA CAPITAL </t>
        </is>
      </c>
      <c r="C15" s="2" t="inlineStr">
        <is>
          <t>15.452.6209.8508.0002</t>
        </is>
      </c>
      <c r="D15" s="2" t="inlineStr">
        <is>
          <t>MANUTENÇÃO DE ÁREAS URBANIZADAS E AJARDINADAS-MANUTENÇÃO DE VIAS PÚBLICAS-DISTRITO FEDERAL</t>
        </is>
      </c>
      <c r="E15" s="2" t="inlineStr">
        <is>
          <t>339039</t>
        </is>
      </c>
      <c r="F15" s="2" t="inlineStr">
        <is>
          <t>161000000</t>
        </is>
      </c>
      <c r="G15" s="2" t="inlineStr">
        <is>
          <t>0</t>
        </is>
      </c>
      <c r="H15" s="3" t="n">
        <v>10301400</v>
      </c>
      <c r="I15" s="3" t="n">
        <v>20225907</v>
      </c>
      <c r="J15" s="3" t="n">
        <v>0</v>
      </c>
      <c r="K15" s="3" t="n">
        <v>0</v>
      </c>
      <c r="L15" s="3" t="n">
        <v>30527307</v>
      </c>
      <c r="M15" s="3" t="n">
        <v>30525359.09</v>
      </c>
      <c r="N15" s="3" t="n">
        <v>30499990.03</v>
      </c>
      <c r="O15" s="3" t="n">
        <v>1947.91</v>
      </c>
      <c r="P15" s="3" t="n">
        <v>30527307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</row>
    <row r="16">
      <c r="A16" s="2" t="inlineStr">
        <is>
          <t>26101.0</t>
        </is>
      </c>
      <c r="B16" s="2" t="inlineStr">
        <is>
          <t>SECRETARIA DE ESTADO DE TRANSPORTE E MOBILIDADE DO DISTRITO FEDERAL</t>
        </is>
      </c>
      <c r="C16" s="2" t="inlineStr">
        <is>
          <t>26.453.6216.4202.0002</t>
        </is>
      </c>
      <c r="D16" s="2" t="inlineStr">
        <is>
          <t>CONCESSÃO DE PASSE LIVRE-PORTADORES DE NECESSIDADES ESPECIAIS PNE-DISTRITO FEDERAL</t>
        </is>
      </c>
      <c r="E16" s="2" t="inlineStr">
        <is>
          <t>339048</t>
        </is>
      </c>
      <c r="F16" s="2" t="inlineStr">
        <is>
          <t>100000000</t>
        </is>
      </c>
      <c r="G16" s="2" t="inlineStr">
        <is>
          <t>0</t>
        </is>
      </c>
      <c r="H16" s="3" t="n">
        <v>139043053</v>
      </c>
      <c r="I16" s="3" t="n">
        <v>-104533859.52</v>
      </c>
      <c r="J16" s="3" t="n">
        <v>0</v>
      </c>
      <c r="K16" s="3" t="n">
        <v>0</v>
      </c>
      <c r="L16" s="3" t="n">
        <v>34509193.48</v>
      </c>
      <c r="M16" s="3" t="n">
        <v>34509193.48</v>
      </c>
      <c r="N16" s="3" t="n">
        <v>34229425.18</v>
      </c>
      <c r="O16" s="3" t="n">
        <v>0</v>
      </c>
      <c r="P16" s="3" t="n">
        <v>34509193.48</v>
      </c>
      <c r="Q16" s="3" t="n">
        <v>121761318</v>
      </c>
      <c r="R16" s="3" t="n">
        <v>-118644855.14</v>
      </c>
      <c r="S16" s="3" t="n">
        <v>0</v>
      </c>
      <c r="T16" s="3" t="n">
        <v>0</v>
      </c>
      <c r="U16" s="3" t="n">
        <v>3116462.86</v>
      </c>
      <c r="V16" s="3" t="n">
        <v>2171434.79</v>
      </c>
      <c r="W16" s="3" t="n">
        <v>1118908.74</v>
      </c>
      <c r="X16" s="3" t="n">
        <v>945028.0699999999</v>
      </c>
      <c r="Y16" s="3" t="n">
        <v>3116462.86</v>
      </c>
    </row>
    <row r="17">
      <c r="A17" s="2" t="inlineStr">
        <is>
          <t>19101.0</t>
        </is>
      </c>
      <c r="B17" s="2" t="inlineStr">
        <is>
          <t xml:space="preserve">SECRETARIA DE ESTADO DE ECONOMIA  DO DISTRITO FEDERAL                                                                                                 </t>
        </is>
      </c>
      <c r="C17" s="2" t="inlineStr">
        <is>
          <t>04.122.8203.2990.0008</t>
        </is>
      </c>
      <c r="D17" s="2" t="inlineStr">
        <is>
          <t>MANUTENÇÃO DE BENS IMÓVEIS DO GDF-LIMPEZA-DISTRITO FEDERAL</t>
        </is>
      </c>
      <c r="E17" s="2" t="inlineStr">
        <is>
          <t>339039</t>
        </is>
      </c>
      <c r="F17" s="2" t="inlineStr">
        <is>
          <t>100000000</t>
        </is>
      </c>
      <c r="G17" s="2" t="inlineStr">
        <is>
          <t>0</t>
        </is>
      </c>
      <c r="H17" s="3" t="n">
        <v>38000000</v>
      </c>
      <c r="I17" s="3" t="n">
        <v>23683236</v>
      </c>
      <c r="J17" s="3" t="n">
        <v>0</v>
      </c>
      <c r="K17" s="3" t="n">
        <v>0</v>
      </c>
      <c r="L17" s="3" t="n">
        <v>61683236</v>
      </c>
      <c r="M17" s="3" t="n">
        <v>61661641.5</v>
      </c>
      <c r="N17" s="3" t="n">
        <v>52866049.85</v>
      </c>
      <c r="O17" s="3" t="n">
        <v>21594.5</v>
      </c>
      <c r="P17" s="3" t="n">
        <v>61683236</v>
      </c>
      <c r="Q17" s="3" t="n">
        <v>68468816</v>
      </c>
      <c r="R17" s="3" t="n">
        <v>-16375802</v>
      </c>
      <c r="S17" s="3" t="n">
        <v>9941589.57</v>
      </c>
      <c r="T17" s="3" t="n">
        <v>0</v>
      </c>
      <c r="U17" s="3" t="n">
        <v>42151424.43</v>
      </c>
      <c r="V17" s="3" t="n">
        <v>42151424.43</v>
      </c>
      <c r="W17" s="3" t="n">
        <v>38118614.38</v>
      </c>
      <c r="X17" s="3" t="n">
        <v>0</v>
      </c>
      <c r="Y17" s="3" t="n">
        <v>52093014</v>
      </c>
    </row>
    <row r="18">
      <c r="A18" s="2" t="inlineStr">
        <is>
          <t>26206.0</t>
        </is>
      </c>
      <c r="B18" s="2" t="inlineStr">
        <is>
          <t>COMPANHIA DO METROPOLITANO DO DISTRITO FEDERAL</t>
        </is>
      </c>
      <c r="C18" s="2" t="inlineStr">
        <is>
          <t>26.453.6216.2756.6137</t>
        </is>
      </c>
      <c r="D18" s="2" t="inlineStr">
        <is>
          <t>MANUTENÇÃO E FUNCIONAMENTO DO SISTEMA FERROVIÁRIO-DF</t>
        </is>
      </c>
      <c r="E18" s="2" t="inlineStr">
        <is>
          <t>339092</t>
        </is>
      </c>
      <c r="F18" s="2" t="inlineStr">
        <is>
          <t>183000000</t>
        </is>
      </c>
      <c r="G18" s="2" t="inlineStr">
        <is>
          <t>0</t>
        </is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2854138</v>
      </c>
      <c r="S18" s="3" t="n">
        <v>0</v>
      </c>
      <c r="T18" s="3" t="n">
        <v>0</v>
      </c>
      <c r="U18" s="3" t="n">
        <v>2854138</v>
      </c>
      <c r="V18" s="3" t="n">
        <v>2854138</v>
      </c>
      <c r="W18" s="3" t="n">
        <v>2854138</v>
      </c>
      <c r="X18" s="3" t="n">
        <v>0</v>
      </c>
      <c r="Y18" s="3" t="n">
        <v>2854138</v>
      </c>
    </row>
    <row r="19">
      <c r="A19" s="2" t="inlineStr">
        <is>
          <t>18101.0</t>
        </is>
      </c>
      <c r="B19" s="2" t="inlineStr">
        <is>
          <t>SECRETARIA DE ESTADO DE  EDUCAÇÃO DO DISTRITO FEDERAL</t>
        </is>
      </c>
      <c r="C19" s="2" t="inlineStr">
        <is>
          <t>12.122.6221.4091.0096</t>
        </is>
      </c>
      <c r="D19" s="2" t="inlineStr">
        <is>
          <t>APOIO A PROJETOS-EDUCADOR SOCIAL VOLUNTÁRIO (ESV)-DISTRITO FEDERAL</t>
        </is>
      </c>
      <c r="E19" s="2" t="inlineStr">
        <is>
          <t>339048</t>
        </is>
      </c>
      <c r="F19" s="2" t="inlineStr">
        <is>
          <t>103000000</t>
        </is>
      </c>
      <c r="G19" s="2" t="inlineStr">
        <is>
          <t>0</t>
        </is>
      </c>
      <c r="H19" s="3" t="n">
        <v>0</v>
      </c>
      <c r="I19" s="3" t="n">
        <v>12833830</v>
      </c>
      <c r="J19" s="3" t="n">
        <v>0</v>
      </c>
      <c r="K19" s="3" t="n">
        <v>0</v>
      </c>
      <c r="L19" s="3" t="n">
        <v>12833830</v>
      </c>
      <c r="M19" s="3" t="n">
        <v>12831950</v>
      </c>
      <c r="N19" s="3" t="n">
        <v>12831950</v>
      </c>
      <c r="O19" s="3" t="n">
        <v>1880</v>
      </c>
      <c r="P19" s="3" t="n">
        <v>12833830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</row>
    <row r="20">
      <c r="A20" s="2" t="inlineStr">
        <is>
          <t>26205.0</t>
        </is>
      </c>
      <c r="B20" s="2" t="inlineStr">
        <is>
          <t>DEPARTAMENTO DE ESTRADAS DE RODAGEM</t>
        </is>
      </c>
      <c r="C20" s="2" t="inlineStr">
        <is>
          <t>26.782.6216.4195.0001</t>
        </is>
      </c>
      <c r="D20" s="2" t="inlineStr">
        <is>
          <t>CONSERVAÇÃO DE  RODOVIAS-PREVENTIVA E CORRETIVA-DER-DF-DISTRITO FEDERAL</t>
        </is>
      </c>
      <c r="E20" s="2" t="inlineStr">
        <is>
          <t>339030</t>
        </is>
      </c>
      <c r="F20" s="2" t="inlineStr">
        <is>
          <t>161000000</t>
        </is>
      </c>
      <c r="G20" s="2" t="inlineStr">
        <is>
          <t>0</t>
        </is>
      </c>
      <c r="H20" s="3" t="n">
        <v>5000000</v>
      </c>
      <c r="I20" s="3" t="n">
        <v>7472082.84</v>
      </c>
      <c r="J20" s="3" t="n">
        <v>0</v>
      </c>
      <c r="K20" s="3" t="n">
        <v>0</v>
      </c>
      <c r="L20" s="3" t="n">
        <v>12472082.84</v>
      </c>
      <c r="M20" s="3" t="n">
        <v>12470745.13</v>
      </c>
      <c r="N20" s="3" t="n">
        <v>12470745.13</v>
      </c>
      <c r="O20" s="3" t="n">
        <v>1337.71</v>
      </c>
      <c r="P20" s="3" t="n">
        <v>12472082.84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</row>
    <row r="21">
      <c r="A21" s="2" t="inlineStr">
        <is>
          <t>19101.0</t>
        </is>
      </c>
      <c r="B21" s="2" t="inlineStr">
        <is>
          <t xml:space="preserve">SECRETARIA DE ESTADO DE ECONOMIA  DO DISTRITO FEDERAL                                                                                                 </t>
        </is>
      </c>
      <c r="C21" s="2" t="inlineStr">
        <is>
          <t>04.122.8203.2990.0006</t>
        </is>
      </c>
      <c r="D21" s="2" t="inlineStr">
        <is>
          <t>MANUTENÇÃO DE BENS IMÓVEIS DO GDF-VIGILÂNCIA-DISTRITO FEDERAL</t>
        </is>
      </c>
      <c r="E21" s="2" t="inlineStr">
        <is>
          <t>339037</t>
        </is>
      </c>
      <c r="F21" s="2" t="inlineStr">
        <is>
          <t>109000000</t>
        </is>
      </c>
      <c r="G21" s="2" t="inlineStr">
        <is>
          <t>0</t>
        </is>
      </c>
      <c r="H21" s="3" t="n">
        <v>3526648</v>
      </c>
      <c r="I21" s="3" t="n">
        <v>0</v>
      </c>
      <c r="J21" s="3" t="n">
        <v>0</v>
      </c>
      <c r="K21" s="3" t="n">
        <v>0</v>
      </c>
      <c r="L21" s="3" t="n">
        <v>3526648</v>
      </c>
      <c r="M21" s="3" t="n">
        <v>3526648</v>
      </c>
      <c r="N21" s="3" t="n">
        <v>3526648</v>
      </c>
      <c r="O21" s="3" t="n">
        <v>0</v>
      </c>
      <c r="P21" s="3" t="n">
        <v>3526648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</row>
    <row r="22">
      <c r="A22" s="2" t="inlineStr">
        <is>
          <t>26206.0</t>
        </is>
      </c>
      <c r="B22" s="2" t="inlineStr">
        <is>
          <t>COMPANHIA DO METROPOLITANO DO DISTRITO FEDERAL</t>
        </is>
      </c>
      <c r="C22" s="2" t="inlineStr">
        <is>
          <t>26.453.6216.2756.6137</t>
        </is>
      </c>
      <c r="D22" s="2" t="inlineStr">
        <is>
          <t>MANUTENÇÃO E FUNCIONAMENTO DO SISTEMA FERROVIÁRIO-DF</t>
        </is>
      </c>
      <c r="E22" s="2" t="inlineStr">
        <is>
          <t>339039</t>
        </is>
      </c>
      <c r="F22" s="2" t="inlineStr">
        <is>
          <t>100000000</t>
        </is>
      </c>
      <c r="G22" s="2" t="inlineStr">
        <is>
          <t>0</t>
        </is>
      </c>
      <c r="H22" s="3" t="n">
        <v>10559358</v>
      </c>
      <c r="I22" s="3" t="n">
        <v>37883878.33</v>
      </c>
      <c r="J22" s="3" t="n">
        <v>30.25</v>
      </c>
      <c r="K22" s="3" t="n">
        <v>0</v>
      </c>
      <c r="L22" s="3" t="n">
        <v>48443206.08</v>
      </c>
      <c r="M22" s="3" t="n">
        <v>48443206.08</v>
      </c>
      <c r="N22" s="3" t="n">
        <v>48215221.72</v>
      </c>
      <c r="O22" s="3" t="n">
        <v>0</v>
      </c>
      <c r="P22" s="3" t="n">
        <v>48443236.33</v>
      </c>
      <c r="Q22" s="3" t="n">
        <v>55233811</v>
      </c>
      <c r="R22" s="3" t="n">
        <v>-12162761.6</v>
      </c>
      <c r="S22" s="3" t="n">
        <v>0.88</v>
      </c>
      <c r="T22" s="3" t="n">
        <v>0</v>
      </c>
      <c r="U22" s="3" t="n">
        <v>43071048.52</v>
      </c>
      <c r="V22" s="3" t="n">
        <v>43038691.45</v>
      </c>
      <c r="W22" s="3" t="n">
        <v>39568994.59</v>
      </c>
      <c r="X22" s="3" t="n">
        <v>32357.07</v>
      </c>
      <c r="Y22" s="3" t="n">
        <v>43071049.4</v>
      </c>
    </row>
    <row r="23">
      <c r="A23" s="2" t="inlineStr">
        <is>
          <t>17101.0</t>
        </is>
      </c>
      <c r="B23" s="2" t="inlineStr">
        <is>
          <t xml:space="preserve">SECRETARIA DE ESTADO DE DESENVOLVIMENTO  SOCIAL DO DISTRITO FEDERAL                                                                                   </t>
        </is>
      </c>
      <c r="C23" s="2" t="inlineStr">
        <is>
          <t>08.306.6228.4175.0002</t>
        </is>
      </c>
      <c r="D23" s="2" t="inlineStr">
        <is>
          <t>FORNECIMENTO DE REFEIÇÕES NOS RESTAURANTES COMUNITÁRIOS--DISTRITO FEDERAL</t>
        </is>
      </c>
      <c r="E23" s="2" t="inlineStr">
        <is>
          <t>339092</t>
        </is>
      </c>
      <c r="F23" s="2" t="inlineStr">
        <is>
          <t>100000000</t>
        </is>
      </c>
      <c r="G23" s="2" t="inlineStr">
        <is>
          <t>0</t>
        </is>
      </c>
      <c r="H23" s="3" t="n">
        <v>0</v>
      </c>
      <c r="I23" s="3" t="n">
        <v>7262.67</v>
      </c>
      <c r="J23" s="3" t="n">
        <v>0</v>
      </c>
      <c r="K23" s="3" t="n">
        <v>7262.34</v>
      </c>
      <c r="L23" s="3" t="n">
        <v>0.33</v>
      </c>
      <c r="M23" s="3" t="n">
        <v>0</v>
      </c>
      <c r="N23" s="3" t="n">
        <v>0</v>
      </c>
      <c r="O23" s="3" t="n">
        <v>0.33</v>
      </c>
      <c r="P23" s="3" t="n">
        <v>7262.67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</row>
    <row r="24">
      <c r="A24" s="2" t="inlineStr">
        <is>
          <t>26205.0</t>
        </is>
      </c>
      <c r="B24" s="2" t="inlineStr">
        <is>
          <t>DEPARTAMENTO DE ESTRADAS DE RODAGEM</t>
        </is>
      </c>
      <c r="C24" s="2" t="inlineStr">
        <is>
          <t>26.782.6216.4195.0001</t>
        </is>
      </c>
      <c r="D24" s="2" t="inlineStr">
        <is>
          <t>CONSERVAÇÃO DE  RODOVIAS-PREVENTIVA E CORRETIVA-DER-DF-DISTRITO FEDERAL</t>
        </is>
      </c>
      <c r="E24" s="2" t="inlineStr">
        <is>
          <t>339039</t>
        </is>
      </c>
      <c r="F24" s="2" t="inlineStr">
        <is>
          <t>161000000</t>
        </is>
      </c>
      <c r="G24" s="2" t="inlineStr">
        <is>
          <t>0</t>
        </is>
      </c>
      <c r="H24" s="3" t="n">
        <v>2000000</v>
      </c>
      <c r="I24" s="3" t="n">
        <v>11784701.87</v>
      </c>
      <c r="J24" s="3" t="n">
        <v>0</v>
      </c>
      <c r="K24" s="3" t="n">
        <v>0</v>
      </c>
      <c r="L24" s="3" t="n">
        <v>13784701.87</v>
      </c>
      <c r="M24" s="3" t="n">
        <v>13780808.42</v>
      </c>
      <c r="N24" s="3" t="n">
        <v>13279484.73</v>
      </c>
      <c r="O24" s="3" t="n">
        <v>3893.45</v>
      </c>
      <c r="P24" s="3" t="n">
        <v>13784701.87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</row>
    <row r="25">
      <c r="A25" s="2" t="inlineStr">
        <is>
          <t>17101.0</t>
        </is>
      </c>
      <c r="B25" s="2" t="inlineStr">
        <is>
          <t xml:space="preserve">SECRETARIA DE ESTADO DE DESENVOLVIMENTO  SOCIAL DO DISTRITO FEDERAL                                                                                   </t>
        </is>
      </c>
      <c r="C25" s="2" t="inlineStr">
        <is>
          <t>08.244.6228.4272.0001</t>
        </is>
      </c>
      <c r="D25" s="2" t="inlineStr">
        <is>
          <t>FORNECIMENTO EMERGENCIAL DE ALIMENTOS-- SETOR COMPL. DE IND. E ABASTECIMENTO</t>
        </is>
      </c>
      <c r="E25" s="2" t="inlineStr">
        <is>
          <t>339039</t>
        </is>
      </c>
      <c r="F25" s="2" t="inlineStr">
        <is>
          <t>100000000</t>
        </is>
      </c>
      <c r="G25" s="2" t="inlineStr">
        <is>
          <t>0</t>
        </is>
      </c>
      <c r="H25" s="3" t="n">
        <v>5000</v>
      </c>
      <c r="I25" s="3" t="n">
        <v>2130585.36</v>
      </c>
      <c r="J25" s="3" t="n">
        <v>1491.02</v>
      </c>
      <c r="K25" s="3" t="n">
        <v>0</v>
      </c>
      <c r="L25" s="3" t="n">
        <v>2134094.34</v>
      </c>
      <c r="M25" s="3" t="n">
        <v>2134094.34</v>
      </c>
      <c r="N25" s="3" t="n">
        <v>1883372.36</v>
      </c>
      <c r="O25" s="3" t="n">
        <v>0</v>
      </c>
      <c r="P25" s="3" t="n">
        <v>2135585.36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</row>
    <row r="26">
      <c r="A26" s="2" t="inlineStr">
        <is>
          <t>22201.0</t>
        </is>
      </c>
      <c r="B26" s="2" t="inlineStr">
        <is>
          <t xml:space="preserve">COMPANHIA URBANIZADORA DA NOVA CAPITAL </t>
        </is>
      </c>
      <c r="C26" s="2" t="inlineStr">
        <is>
          <t>17.512.6209.2903.0001</t>
        </is>
      </c>
      <c r="D26" s="2" t="inlineStr">
        <is>
          <t>MANUTENÇÃO DE REDES DE ÁGUAS PLUVIAIS--DISTRITO FEDERAL</t>
        </is>
      </c>
      <c r="E26" s="2" t="inlineStr">
        <is>
          <t>339030</t>
        </is>
      </c>
      <c r="F26" s="2" t="inlineStr">
        <is>
          <t>183000000</t>
        </is>
      </c>
      <c r="G26" s="2" t="inlineStr">
        <is>
          <t>0</t>
        </is>
      </c>
      <c r="H26" s="3" t="n">
        <v>0</v>
      </c>
      <c r="I26" s="3" t="n">
        <v>14086.8</v>
      </c>
      <c r="J26" s="3" t="n">
        <v>0</v>
      </c>
      <c r="K26" s="3" t="n">
        <v>0</v>
      </c>
      <c r="L26" s="3" t="n">
        <v>14086.8</v>
      </c>
      <c r="M26" s="3" t="n">
        <v>14086.8</v>
      </c>
      <c r="N26" s="3" t="n">
        <v>0</v>
      </c>
      <c r="O26" s="3" t="n">
        <v>0</v>
      </c>
      <c r="P26" s="3" t="n">
        <v>14086.8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</row>
    <row r="27">
      <c r="A27" s="2" t="inlineStr">
        <is>
          <t>26205.0</t>
        </is>
      </c>
      <c r="B27" s="2" t="inlineStr">
        <is>
          <t>DEPARTAMENTO DE ESTRADAS DE RODAGEM</t>
        </is>
      </c>
      <c r="C27" s="2" t="inlineStr">
        <is>
          <t>26.782.6216.4195.0001</t>
        </is>
      </c>
      <c r="D27" s="2" t="inlineStr">
        <is>
          <t>CONSERVAÇÃO DE  RODOVIAS-PREVENTIVA E CORRETIVA-DER-DF-DISTRITO FEDERAL</t>
        </is>
      </c>
      <c r="E27" s="2" t="inlineStr">
        <is>
          <t>339037</t>
        </is>
      </c>
      <c r="F27" s="2" t="inlineStr">
        <is>
          <t>161000000</t>
        </is>
      </c>
      <c r="G27" s="2" t="inlineStr">
        <is>
          <t>0</t>
        </is>
      </c>
      <c r="H27" s="3" t="n">
        <v>0</v>
      </c>
      <c r="I27" s="3" t="n">
        <v>14599383.29</v>
      </c>
      <c r="J27" s="3" t="n">
        <v>0</v>
      </c>
      <c r="K27" s="3" t="n">
        <v>0</v>
      </c>
      <c r="L27" s="3" t="n">
        <v>14599383.29</v>
      </c>
      <c r="M27" s="3" t="n">
        <v>14599383.29</v>
      </c>
      <c r="N27" s="3" t="n">
        <v>14599383.29</v>
      </c>
      <c r="O27" s="3" t="n">
        <v>0</v>
      </c>
      <c r="P27" s="3" t="n">
        <v>14599383.29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</row>
    <row r="28">
      <c r="A28" s="2" t="inlineStr">
        <is>
          <t>26205.0</t>
        </is>
      </c>
      <c r="B28" s="2" t="inlineStr">
        <is>
          <t>DEPARTAMENTO DE ESTRADAS DE RODAGEM</t>
        </is>
      </c>
      <c r="C28" s="2" t="inlineStr">
        <is>
          <t>26.782.6216.2885.0001</t>
        </is>
      </c>
      <c r="D28" s="2" t="inlineStr">
        <is>
          <t>MANUTENÇÃO DE MÁQUINAS E EQUIPAMENTOS-LEVES E PESADOS - DER-DF-DISTRITO FEDERAL</t>
        </is>
      </c>
      <c r="E28" s="2" t="inlineStr">
        <is>
          <t>339030</t>
        </is>
      </c>
      <c r="F28" s="2" t="inlineStr">
        <is>
          <t>237000000</t>
        </is>
      </c>
      <c r="G28" s="2" t="inlineStr">
        <is>
          <t>0</t>
        </is>
      </c>
      <c r="H28" s="3" t="n">
        <v>0</v>
      </c>
      <c r="I28" s="3" t="n">
        <v>1350000</v>
      </c>
      <c r="J28" s="3" t="n">
        <v>0</v>
      </c>
      <c r="K28" s="3" t="n">
        <v>0</v>
      </c>
      <c r="L28" s="3" t="n">
        <v>1350000</v>
      </c>
      <c r="M28" s="3" t="n">
        <v>1350000</v>
      </c>
      <c r="N28" s="3" t="n">
        <v>1350000</v>
      </c>
      <c r="O28" s="3" t="n">
        <v>0</v>
      </c>
      <c r="P28" s="3" t="n">
        <v>1350000</v>
      </c>
      <c r="Q28" s="3" t="n">
        <v>500000</v>
      </c>
      <c r="R28" s="3" t="n">
        <v>261193.62</v>
      </c>
      <c r="S28" s="3" t="n">
        <v>0</v>
      </c>
      <c r="T28" s="3" t="n">
        <v>0</v>
      </c>
      <c r="U28" s="3" t="n">
        <v>761193.62</v>
      </c>
      <c r="V28" s="3" t="n">
        <v>510000</v>
      </c>
      <c r="W28" s="3" t="n">
        <v>510000</v>
      </c>
      <c r="X28" s="3" t="n">
        <v>251193.62</v>
      </c>
      <c r="Y28" s="3" t="n">
        <v>761193.62</v>
      </c>
    </row>
    <row r="29">
      <c r="A29" s="2" t="inlineStr">
        <is>
          <t>26205.0</t>
        </is>
      </c>
      <c r="B29" s="2" t="inlineStr">
        <is>
          <t>DEPARTAMENTO DE ESTRADAS DE RODAGEM</t>
        </is>
      </c>
      <c r="C29" s="2" t="inlineStr">
        <is>
          <t>26.782.6216.2885.0001</t>
        </is>
      </c>
      <c r="D29" s="2" t="inlineStr">
        <is>
          <t>MANUTENÇÃO DE MÁQUINAS E EQUIPAMENTOS-LEVES E PESADOS - DER-DF-DISTRITO FEDERAL</t>
        </is>
      </c>
      <c r="E29" s="2" t="inlineStr">
        <is>
          <t>339030</t>
        </is>
      </c>
      <c r="F29" s="2" t="inlineStr">
        <is>
          <t>100000000</t>
        </is>
      </c>
      <c r="G29" s="2" t="inlineStr">
        <is>
          <t>0</t>
        </is>
      </c>
      <c r="H29" s="3" t="n">
        <v>0</v>
      </c>
      <c r="I29" s="3" t="n">
        <v>45000</v>
      </c>
      <c r="J29" s="3" t="n">
        <v>0</v>
      </c>
      <c r="K29" s="3" t="n">
        <v>0</v>
      </c>
      <c r="L29" s="3" t="n">
        <v>45000</v>
      </c>
      <c r="M29" s="3" t="n">
        <v>45000</v>
      </c>
      <c r="N29" s="3" t="n">
        <v>45000</v>
      </c>
      <c r="O29" s="3" t="n">
        <v>0</v>
      </c>
      <c r="P29" s="3" t="n">
        <v>45000</v>
      </c>
      <c r="Q29" s="3" t="n">
        <v>0</v>
      </c>
      <c r="R29" s="3" t="n">
        <v>1116795.96</v>
      </c>
      <c r="S29" s="3" t="n">
        <v>0</v>
      </c>
      <c r="T29" s="3" t="n">
        <v>0</v>
      </c>
      <c r="U29" s="3" t="n">
        <v>1116795.96</v>
      </c>
      <c r="V29" s="3" t="n">
        <v>1116795.96</v>
      </c>
      <c r="W29" s="3" t="n">
        <v>485180.71</v>
      </c>
      <c r="X29" s="3" t="n">
        <v>0</v>
      </c>
      <c r="Y29" s="3" t="n">
        <v>1116795.96</v>
      </c>
    </row>
    <row r="30">
      <c r="A30" s="2" t="inlineStr">
        <is>
          <t>19101.0</t>
        </is>
      </c>
      <c r="B30" s="2" t="inlineStr">
        <is>
          <t xml:space="preserve">SECRETARIA DE ESTADO DE ECONOMIA  DO DISTRITO FEDERAL                                                                                                 </t>
        </is>
      </c>
      <c r="C30" s="2" t="inlineStr">
        <is>
          <t>04.122.8203.2990.0008</t>
        </is>
      </c>
      <c r="D30" s="2" t="inlineStr">
        <is>
          <t>MANUTENÇÃO DE BENS IMÓVEIS DO GDF-LIMPEZA-DISTRITO FEDERAL</t>
        </is>
      </c>
      <c r="E30" s="2" t="inlineStr">
        <is>
          <t>339037</t>
        </is>
      </c>
      <c r="F30" s="2" t="inlineStr">
        <is>
          <t>100000000</t>
        </is>
      </c>
      <c r="G30" s="2" t="inlineStr">
        <is>
          <t>0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</row>
    <row r="31">
      <c r="A31" s="2" t="inlineStr">
        <is>
          <t>22201.0</t>
        </is>
      </c>
      <c r="B31" s="2" t="inlineStr">
        <is>
          <t xml:space="preserve">COMPANHIA URBANIZADORA DA NOVA CAPITAL </t>
        </is>
      </c>
      <c r="C31" s="2" t="inlineStr">
        <is>
          <t>17.512.6209.2903.0001</t>
        </is>
      </c>
      <c r="D31" s="2" t="inlineStr">
        <is>
          <t>MANUTENÇÃO DE REDES DE ÁGUAS PLUVIAIS--DISTRITO FEDERAL</t>
        </is>
      </c>
      <c r="E31" s="2" t="inlineStr">
        <is>
          <t>339039</t>
        </is>
      </c>
      <c r="F31" s="2" t="inlineStr">
        <is>
          <t>101000000</t>
        </is>
      </c>
      <c r="G31" s="2" t="inlineStr">
        <is>
          <t>0</t>
        </is>
      </c>
      <c r="H31" s="3" t="n">
        <v>0</v>
      </c>
      <c r="I31" s="3" t="n">
        <v>14113164</v>
      </c>
      <c r="J31" s="3" t="n">
        <v>0</v>
      </c>
      <c r="K31" s="3" t="n">
        <v>0</v>
      </c>
      <c r="L31" s="3" t="n">
        <v>14113164</v>
      </c>
      <c r="M31" s="3" t="n">
        <v>14113164</v>
      </c>
      <c r="N31" s="3" t="n">
        <v>12053753.92</v>
      </c>
      <c r="O31" s="3" t="n">
        <v>0</v>
      </c>
      <c r="P31" s="3" t="n">
        <v>14113164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</row>
    <row r="32">
      <c r="A32" s="2" t="inlineStr">
        <is>
          <t>22201.0</t>
        </is>
      </c>
      <c r="B32" s="2" t="inlineStr">
        <is>
          <t xml:space="preserve">COMPANHIA URBANIZADORA DA NOVA CAPITAL </t>
        </is>
      </c>
      <c r="C32" s="2" t="inlineStr">
        <is>
          <t>15.452.6209.8508.0002</t>
        </is>
      </c>
      <c r="D32" s="2" t="inlineStr">
        <is>
          <t>MANUTENÇÃO DE ÁREAS URBANIZADAS E AJARDINADAS-MANUTENÇÃO DE VIAS PÚBLICAS-DISTRITO FEDERAL</t>
        </is>
      </c>
      <c r="E32" s="2" t="inlineStr">
        <is>
          <t>339033</t>
        </is>
      </c>
      <c r="F32" s="2" t="inlineStr">
        <is>
          <t>102000000</t>
        </is>
      </c>
      <c r="G32" s="2" t="inlineStr">
        <is>
          <t>0</t>
        </is>
      </c>
      <c r="H32" s="3" t="n">
        <v>0</v>
      </c>
      <c r="I32" s="3" t="n">
        <v>375104.4</v>
      </c>
      <c r="J32" s="3" t="n">
        <v>0</v>
      </c>
      <c r="K32" s="3" t="n">
        <v>0</v>
      </c>
      <c r="L32" s="3" t="n">
        <v>375104.4</v>
      </c>
      <c r="M32" s="3" t="n">
        <v>375104.4</v>
      </c>
      <c r="N32" s="3" t="n">
        <v>190648.95</v>
      </c>
      <c r="O32" s="3" t="n">
        <v>0</v>
      </c>
      <c r="P32" s="3" t="n">
        <v>375104.4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</row>
    <row r="33">
      <c r="A33" s="2" t="inlineStr">
        <is>
          <t>64101.0</t>
        </is>
      </c>
      <c r="B33" s="2" t="inlineStr">
        <is>
          <t xml:space="preserve">SECRETARIA DE ESTADO ADMINISTRAÇÃO PENITENCIÁRIA DO DISTRITO FEDERAL </t>
        </is>
      </c>
      <c r="C33" s="2" t="inlineStr">
        <is>
          <t>06.421.6217.2727.0006</t>
        </is>
      </c>
      <c r="D33" s="2" t="inlineStr">
        <is>
          <t>MANUTENÇÃO DO SISTEMA PENITENCIÁRIO DO DF- MANUTENÇÃO DO SISTEMA PENITENCIÁRIO DO DF-DISTRITO FEDERAL</t>
        </is>
      </c>
      <c r="E33" s="2" t="inlineStr">
        <is>
          <t>339030</t>
        </is>
      </c>
      <c r="F33" s="2" t="inlineStr">
        <is>
          <t>161000000</t>
        </is>
      </c>
      <c r="G33" s="2" t="inlineStr">
        <is>
          <t>0</t>
        </is>
      </c>
      <c r="H33" s="3" t="n">
        <v>0</v>
      </c>
      <c r="I33" s="3" t="n">
        <v>370000</v>
      </c>
      <c r="J33" s="3" t="n">
        <v>0</v>
      </c>
      <c r="K33" s="3" t="n">
        <v>0</v>
      </c>
      <c r="L33" s="3" t="n">
        <v>370000</v>
      </c>
      <c r="M33" s="3" t="n">
        <v>125059.2</v>
      </c>
      <c r="N33" s="3" t="n">
        <v>125059.2</v>
      </c>
      <c r="O33" s="3" t="n">
        <v>244940.8</v>
      </c>
      <c r="P33" s="3" t="n">
        <v>370000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</row>
    <row r="34">
      <c r="A34" s="2" t="inlineStr">
        <is>
          <t>18101.0</t>
        </is>
      </c>
      <c r="B34" s="2" t="inlineStr">
        <is>
          <t>SECRETARIA DE ESTADO DE  EDUCAÇÃO DO DISTRITO FEDERAL</t>
        </is>
      </c>
      <c r="C34" s="2" t="inlineStr">
        <is>
          <t>12.453.6221.4202.0010</t>
        </is>
      </c>
      <c r="D34" s="2" t="inlineStr">
        <is>
          <t>CONCESSÃO DE PASSE LIVRE - PLE - OUTROS - DISTRITO FEDERAL</t>
        </is>
      </c>
      <c r="E34" s="2" t="inlineStr">
        <is>
          <t>339039</t>
        </is>
      </c>
      <c r="F34" s="2" t="inlineStr">
        <is>
          <t>161000000</t>
        </is>
      </c>
      <c r="G34" s="2" t="inlineStr">
        <is>
          <t>0</t>
        </is>
      </c>
      <c r="H34" s="3" t="n">
        <v>0</v>
      </c>
      <c r="I34" s="3" t="n">
        <v>14000000</v>
      </c>
      <c r="J34" s="3" t="n">
        <v>0</v>
      </c>
      <c r="K34" s="3" t="n">
        <v>0</v>
      </c>
      <c r="L34" s="3" t="n">
        <v>14000000</v>
      </c>
      <c r="M34" s="3" t="n">
        <v>14000000</v>
      </c>
      <c r="N34" s="3" t="n">
        <v>14000000</v>
      </c>
      <c r="O34" s="3" t="n">
        <v>0</v>
      </c>
      <c r="P34" s="3" t="n">
        <v>14000000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</row>
    <row r="35">
      <c r="A35" s="2" t="inlineStr">
        <is>
          <t>22201.0</t>
        </is>
      </c>
      <c r="B35" s="2" t="inlineStr">
        <is>
          <t xml:space="preserve">COMPANHIA URBANIZADORA DA NOVA CAPITAL </t>
        </is>
      </c>
      <c r="C35" s="2" t="inlineStr">
        <is>
          <t>17.512.6209.2903.0001</t>
        </is>
      </c>
      <c r="D35" s="2" t="inlineStr">
        <is>
          <t>MANUTENÇÃO DE REDES DE ÁGUAS PLUVIAIS--DISTRITO FEDERAL</t>
        </is>
      </c>
      <c r="E35" s="2" t="inlineStr">
        <is>
          <t>339092</t>
        </is>
      </c>
      <c r="F35" s="2" t="inlineStr">
        <is>
          <t>100000000</t>
        </is>
      </c>
      <c r="G35" s="2" t="inlineStr">
        <is>
          <t>0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</row>
    <row r="36">
      <c r="A36" s="2" t="inlineStr">
        <is>
          <t>26101.0</t>
        </is>
      </c>
      <c r="B36" s="2" t="inlineStr">
        <is>
          <t>SECRETARIA DE ESTADO DE TRANSPORTE E MOBILIDADE DO DISTRITO FEDERAL</t>
        </is>
      </c>
      <c r="C36" s="2" t="inlineStr">
        <is>
          <t>26.453.6216.2455.0001</t>
        </is>
      </c>
      <c r="D36" s="2" t="inlineStr">
        <is>
          <t>MANUTENÇÃO DO EQUILÍBRIO FINANCEIRO DO SISTEMA DE TRANSPORTE PÚBLICO COLETIVO - STPC - Sistema de Transporte Público Complementar Rural - DISTRITO FEDERAL</t>
        </is>
      </c>
      <c r="E36" s="2" t="inlineStr">
        <is>
          <t>339039</t>
        </is>
      </c>
      <c r="F36" s="2" t="inlineStr">
        <is>
          <t>100000000</t>
        </is>
      </c>
      <c r="G36" s="2" t="inlineStr">
        <is>
          <t>0</t>
        </is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978221.16</v>
      </c>
      <c r="S36" s="3" t="n">
        <v>0</v>
      </c>
      <c r="T36" s="3" t="n">
        <v>0</v>
      </c>
      <c r="U36" s="3" t="n">
        <v>978221.16</v>
      </c>
      <c r="V36" s="3" t="n">
        <v>978221.16</v>
      </c>
      <c r="W36" s="3" t="n">
        <v>978221.16</v>
      </c>
      <c r="X36" s="3" t="n">
        <v>0</v>
      </c>
      <c r="Y36" s="3" t="n">
        <v>978221.16</v>
      </c>
    </row>
    <row r="37">
      <c r="A37" s="2" t="inlineStr">
        <is>
          <t>18101.0</t>
        </is>
      </c>
      <c r="B37" s="2" t="inlineStr">
        <is>
          <t>SECRETARIA DE ESTADO DE  EDUCAÇÃO DO DISTRITO FEDERAL</t>
        </is>
      </c>
      <c r="C37" s="2" t="inlineStr">
        <is>
          <t>12.122.6221.4091.0096</t>
        </is>
      </c>
      <c r="D37" s="2" t="inlineStr">
        <is>
          <t>APOIO A PROJETOS-EDUCADOR SOCIAL VOLUNTÁRIO (ESV)-DISTRITO FEDERAL</t>
        </is>
      </c>
      <c r="E37" s="2" t="inlineStr">
        <is>
          <t>339092</t>
        </is>
      </c>
      <c r="F37" s="2" t="inlineStr">
        <is>
          <t>377000000</t>
        </is>
      </c>
      <c r="G37" s="2" t="inlineStr">
        <is>
          <t>0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158070</v>
      </c>
      <c r="S37" s="3" t="n">
        <v>0</v>
      </c>
      <c r="T37" s="3" t="n">
        <v>0</v>
      </c>
      <c r="U37" s="3" t="n">
        <v>158070</v>
      </c>
      <c r="V37" s="3" t="n">
        <v>0</v>
      </c>
      <c r="W37" s="3" t="n">
        <v>0</v>
      </c>
      <c r="X37" s="3" t="n">
        <v>158070</v>
      </c>
      <c r="Y37" s="3" t="n">
        <v>158070</v>
      </c>
    </row>
    <row r="38">
      <c r="A38" s="2" t="inlineStr">
        <is>
          <t>64101.0</t>
        </is>
      </c>
      <c r="B38" s="2" t="inlineStr">
        <is>
          <t xml:space="preserve">SECRETARIA DE ESTADO ADMINISTRAÇÃO PENITENCIÁRIA DO DISTRITO FEDERAL </t>
        </is>
      </c>
      <c r="C38" s="2" t="inlineStr">
        <is>
          <t>06.422.6217.2540.0002</t>
        </is>
      </c>
      <c r="D38" s="2" t="inlineStr">
        <is>
          <t>FORNECIMENTO DE ALIMENTAÇÃO AOS PRESIDIÁRIOS-FORNECIMENTO DE ALIMENTAÇÃO AOS PRESIDIÁRIOS-SEAP-DISTRITO FEDERAL</t>
        </is>
      </c>
      <c r="E38" s="2" t="inlineStr">
        <is>
          <t>339039</t>
        </is>
      </c>
      <c r="F38" s="2" t="inlineStr">
        <is>
          <t>183000000</t>
        </is>
      </c>
      <c r="G38" s="2" t="inlineStr">
        <is>
          <t>0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1032775</v>
      </c>
      <c r="S38" s="3" t="n">
        <v>0</v>
      </c>
      <c r="T38" s="3" t="n">
        <v>0</v>
      </c>
      <c r="U38" s="3" t="n">
        <v>1032775</v>
      </c>
      <c r="V38" s="3" t="n">
        <v>1032775</v>
      </c>
      <c r="W38" s="3" t="n">
        <v>1032775</v>
      </c>
      <c r="X38" s="3" t="n">
        <v>0</v>
      </c>
      <c r="Y38" s="3" t="n">
        <v>1032775</v>
      </c>
    </row>
    <row r="39">
      <c r="A39" s="2" t="inlineStr">
        <is>
          <t>23901.0</t>
        </is>
      </c>
      <c r="B39" s="2" t="inlineStr">
        <is>
          <t>FUNDO DE SAÚDE DO DISTRITO FEDERAL</t>
        </is>
      </c>
      <c r="C39" s="2" t="inlineStr">
        <is>
          <t>10.302.6202.4206.0002</t>
        </is>
      </c>
      <c r="D39" s="2" t="inlineStr">
        <is>
          <t>EXECUÇÃO DE CONTRATOS DE GESTÃO-HOSPITAL DA CRIANÇA DE BRASÍLIA JOSÉ ALENCAR - HCB-DISTRITO FEDERAL</t>
        </is>
      </c>
      <c r="E39" s="2" t="inlineStr">
        <is>
          <t>335085</t>
        </is>
      </c>
      <c r="F39" s="2" t="inlineStr">
        <is>
          <t>740000000</t>
        </is>
      </c>
      <c r="G39" s="2" t="inlineStr">
        <is>
          <t>0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400000</v>
      </c>
      <c r="S39" s="3" t="n">
        <v>0</v>
      </c>
      <c r="T39" s="3" t="n">
        <v>0</v>
      </c>
      <c r="U39" s="3" t="n">
        <v>400000</v>
      </c>
      <c r="V39" s="3" t="n">
        <v>0</v>
      </c>
      <c r="W39" s="3" t="n">
        <v>0</v>
      </c>
      <c r="X39" s="3" t="n">
        <v>400000</v>
      </c>
      <c r="Y39" s="3" t="n">
        <v>400000</v>
      </c>
    </row>
    <row r="40">
      <c r="A40" s="2" t="inlineStr">
        <is>
          <t>23901.0</t>
        </is>
      </c>
      <c r="B40" s="2" t="inlineStr">
        <is>
          <t>FUNDO DE SAÚDE DO DISTRITO FEDERAL</t>
        </is>
      </c>
      <c r="C40" s="2" t="inlineStr">
        <is>
          <t>10.302.6202.4206.0002</t>
        </is>
      </c>
      <c r="D40" s="2" t="inlineStr">
        <is>
          <t>EXECUÇÃO DE CONTRATOS DE GESTÃO-HOSPITAL DA CRIANÇA DE BRASÍLIA JOSÉ ALENCAR - HCB-DISTRITO FEDERAL</t>
        </is>
      </c>
      <c r="E40" s="2" t="inlineStr">
        <is>
          <t>335085</t>
        </is>
      </c>
      <c r="F40" s="2" t="inlineStr">
        <is>
          <t>838000000</t>
        </is>
      </c>
      <c r="G40" s="2" t="inlineStr">
        <is>
          <t>0</t>
        </is>
      </c>
      <c r="H40" s="3" t="n">
        <v>0</v>
      </c>
      <c r="I40" s="3" t="n">
        <v>5348596</v>
      </c>
      <c r="J40" s="3" t="n">
        <v>0</v>
      </c>
      <c r="K40" s="3" t="n">
        <v>0</v>
      </c>
      <c r="L40" s="3" t="n">
        <v>5348596</v>
      </c>
      <c r="M40" s="3" t="n">
        <v>4526336.38</v>
      </c>
      <c r="N40" s="3" t="n">
        <v>4526336.38</v>
      </c>
      <c r="O40" s="3" t="n">
        <v>822259.62</v>
      </c>
      <c r="P40" s="3" t="n">
        <v>5348596</v>
      </c>
      <c r="Q40" s="3" t="n">
        <v>0</v>
      </c>
      <c r="R40" s="3" t="n">
        <v>48523</v>
      </c>
      <c r="S40" s="3" t="n">
        <v>0</v>
      </c>
      <c r="T40" s="3" t="n">
        <v>0</v>
      </c>
      <c r="U40" s="3" t="n">
        <v>48523</v>
      </c>
      <c r="V40" s="3" t="n">
        <v>0</v>
      </c>
      <c r="W40" s="3" t="n">
        <v>0</v>
      </c>
      <c r="X40" s="3" t="n">
        <v>48523</v>
      </c>
      <c r="Y40" s="3" t="n">
        <v>48523</v>
      </c>
    </row>
    <row r="41">
      <c r="A41" s="2" t="inlineStr">
        <is>
          <t>19101.0</t>
        </is>
      </c>
      <c r="B41" s="2" t="inlineStr">
        <is>
          <t xml:space="preserve">SECRETARIA DE ESTADO DE ECONOMIA  DO DISTRITO FEDERAL                                                                                                 </t>
        </is>
      </c>
      <c r="C41" s="2" t="inlineStr">
        <is>
          <t>04.122.8203.2990.0006</t>
        </is>
      </c>
      <c r="D41" s="2" t="inlineStr">
        <is>
          <t>MANUTENÇÃO DE BENS IMÓVEIS DO GDF-VIGILÂNCIA-DISTRITO FEDERAL</t>
        </is>
      </c>
      <c r="E41" s="2" t="inlineStr">
        <is>
          <t>339037</t>
        </is>
      </c>
      <c r="F41" s="2" t="inlineStr">
        <is>
          <t>100000000</t>
        </is>
      </c>
      <c r="G41" s="2" t="inlineStr">
        <is>
          <t>0</t>
        </is>
      </c>
      <c r="H41" s="3" t="n">
        <v>30265957</v>
      </c>
      <c r="I41" s="3" t="n">
        <v>210816011</v>
      </c>
      <c r="J41" s="3" t="n">
        <v>0</v>
      </c>
      <c r="K41" s="3" t="n">
        <v>0</v>
      </c>
      <c r="L41" s="3" t="n">
        <v>241081968</v>
      </c>
      <c r="M41" s="3" t="n">
        <v>241081968</v>
      </c>
      <c r="N41" s="3" t="n">
        <v>237178965.7</v>
      </c>
      <c r="O41" s="3" t="n">
        <v>0</v>
      </c>
      <c r="P41" s="3" t="n">
        <v>241081968</v>
      </c>
      <c r="Q41" s="3" t="n">
        <v>114601014</v>
      </c>
      <c r="R41" s="3" t="n">
        <v>118396007</v>
      </c>
      <c r="S41" s="3" t="n">
        <v>0</v>
      </c>
      <c r="T41" s="3" t="n">
        <v>0</v>
      </c>
      <c r="U41" s="3" t="n">
        <v>232997021</v>
      </c>
      <c r="V41" s="3" t="n">
        <v>232997020.57</v>
      </c>
      <c r="W41" s="3" t="n">
        <v>213307072.33</v>
      </c>
      <c r="X41" s="3" t="n">
        <v>0.43</v>
      </c>
      <c r="Y41" s="3" t="n">
        <v>232997021</v>
      </c>
    </row>
    <row r="42">
      <c r="A42" s="2" t="inlineStr">
        <is>
          <t>26205.0</t>
        </is>
      </c>
      <c r="B42" s="2" t="inlineStr">
        <is>
          <t>DEPARTAMENTO DE ESTRADAS DE RODAGEM</t>
        </is>
      </c>
      <c r="C42" s="2" t="inlineStr">
        <is>
          <t>26.782.6216.4195.0001</t>
        </is>
      </c>
      <c r="D42" s="2" t="inlineStr">
        <is>
          <t>CONSERVAÇÃO DE  RODOVIAS-PREVENTIVA E CORRETIVA-DER-DF-DISTRITO FEDERAL</t>
        </is>
      </c>
      <c r="E42" s="2" t="inlineStr">
        <is>
          <t>339030</t>
        </is>
      </c>
      <c r="F42" s="2" t="inlineStr">
        <is>
          <t>183000000</t>
        </is>
      </c>
      <c r="G42" s="2" t="inlineStr">
        <is>
          <t>0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15000000</v>
      </c>
      <c r="R42" s="3" t="n">
        <v>-2474980.39</v>
      </c>
      <c r="S42" s="3" t="n">
        <v>0</v>
      </c>
      <c r="T42" s="3" t="n">
        <v>0.41</v>
      </c>
      <c r="U42" s="3" t="n">
        <v>12525019.2</v>
      </c>
      <c r="V42" s="3" t="n">
        <v>291854.2</v>
      </c>
      <c r="W42" s="3" t="n">
        <v>291854.2</v>
      </c>
      <c r="X42" s="3" t="n">
        <v>12233165</v>
      </c>
      <c r="Y42" s="3" t="n">
        <v>12525019.61</v>
      </c>
    </row>
    <row r="43">
      <c r="A43" s="2" t="inlineStr">
        <is>
          <t>23901.0</t>
        </is>
      </c>
      <c r="B43" s="2" t="inlineStr">
        <is>
          <t>FUNDO DE SAÚDE DO DISTRITO FEDERAL</t>
        </is>
      </c>
      <c r="C43" s="2" t="inlineStr">
        <is>
          <t>10.302.6202.4206.0001</t>
        </is>
      </c>
      <c r="D43" s="2" t="inlineStr">
        <is>
          <t>EXECUÇÃO DE CONTRATOS DE GESTÃO - INSTITUTO DE GESTÃO ESTRATÉGICA DE SAÚDE DO DISTRITO FEDERAL - DISTRITO FEDERAL</t>
        </is>
      </c>
      <c r="E43" s="2" t="inlineStr">
        <is>
          <t>335085</t>
        </is>
      </c>
      <c r="F43" s="2" t="inlineStr">
        <is>
          <t>740000000</t>
        </is>
      </c>
      <c r="G43" s="2" t="inlineStr">
        <is>
          <t>0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10238778</v>
      </c>
      <c r="S43" s="3" t="n">
        <v>0</v>
      </c>
      <c r="T43" s="3" t="n">
        <v>0</v>
      </c>
      <c r="U43" s="3" t="n">
        <v>10238778</v>
      </c>
      <c r="V43" s="3" t="n">
        <v>0</v>
      </c>
      <c r="W43" s="3" t="n">
        <v>0</v>
      </c>
      <c r="X43" s="3" t="n">
        <v>10238778</v>
      </c>
      <c r="Y43" s="3" t="n">
        <v>10238778</v>
      </c>
    </row>
    <row r="44">
      <c r="A44" s="2" t="inlineStr">
        <is>
          <t>18101.0</t>
        </is>
      </c>
      <c r="B44" s="2" t="inlineStr">
        <is>
          <t>SECRETARIA DE ESTADO DE  EDUCAÇÃO DO DISTRITO FEDERAL</t>
        </is>
      </c>
      <c r="C44" s="2" t="inlineStr">
        <is>
          <t>12.361.6221.4202.0004</t>
        </is>
      </c>
      <c r="D44" s="2" t="inlineStr">
        <is>
          <t>(OCA)CONCESSÃO DE PASSE LIVRE - ENSINO FUNDAMENTAL - REDE PÚBLICA - DISTRITO FEDERAL</t>
        </is>
      </c>
      <c r="E44" s="2" t="inlineStr">
        <is>
          <t>339036</t>
        </is>
      </c>
      <c r="F44" s="2" t="inlineStr">
        <is>
          <t>100000000</t>
        </is>
      </c>
      <c r="G44" s="2" t="inlineStr">
        <is>
          <t>0</t>
        </is>
      </c>
      <c r="H44" s="3" t="n">
        <v>0</v>
      </c>
      <c r="I44" s="3" t="n">
        <v>3051997</v>
      </c>
      <c r="J44" s="3" t="n">
        <v>0</v>
      </c>
      <c r="K44" s="3" t="n">
        <v>0</v>
      </c>
      <c r="L44" s="3" t="n">
        <v>3051997</v>
      </c>
      <c r="M44" s="3" t="n">
        <v>2993038.9</v>
      </c>
      <c r="N44" s="3" t="n">
        <v>2784877.83</v>
      </c>
      <c r="O44" s="3" t="n">
        <v>58958.1</v>
      </c>
      <c r="P44" s="3" t="n">
        <v>3051997</v>
      </c>
      <c r="Q44" s="3" t="n">
        <v>0</v>
      </c>
      <c r="R44" s="3" t="n">
        <v>3063365.61</v>
      </c>
      <c r="S44" s="3" t="n">
        <v>0</v>
      </c>
      <c r="T44" s="3" t="n">
        <v>0</v>
      </c>
      <c r="U44" s="3" t="n">
        <v>3063365.61</v>
      </c>
      <c r="V44" s="3" t="n">
        <v>2038091.48</v>
      </c>
      <c r="W44" s="3" t="n">
        <v>2037579.33</v>
      </c>
      <c r="X44" s="3" t="n">
        <v>1025274.13</v>
      </c>
      <c r="Y44" s="3" t="n">
        <v>3063365.61</v>
      </c>
    </row>
    <row r="45">
      <c r="A45" s="2" t="inlineStr">
        <is>
          <t>26205.0</t>
        </is>
      </c>
      <c r="B45" s="2" t="inlineStr">
        <is>
          <t>DEPARTAMENTO DE ESTRADAS DE RODAGEM</t>
        </is>
      </c>
      <c r="C45" s="2" t="inlineStr">
        <is>
          <t>26.782.6216.4195.0001</t>
        </is>
      </c>
      <c r="D45" s="2" t="inlineStr">
        <is>
          <t>CONSERVAÇÃO DE  RODOVIAS-PREVENTIVA E CORRETIVA-DER-DF-DISTRITO FEDERAL</t>
        </is>
      </c>
      <c r="E45" s="2" t="inlineStr">
        <is>
          <t>339037</t>
        </is>
      </c>
      <c r="F45" s="2" t="inlineStr">
        <is>
          <t>183000000</t>
        </is>
      </c>
      <c r="G45" s="2" t="inlineStr">
        <is>
          <t>0</t>
        </is>
      </c>
      <c r="H45" s="3" t="n">
        <v>0</v>
      </c>
      <c r="I45" s="3" t="n">
        <v>125746</v>
      </c>
      <c r="J45" s="3" t="n">
        <v>0</v>
      </c>
      <c r="K45" s="3" t="n">
        <v>0</v>
      </c>
      <c r="L45" s="3" t="n">
        <v>125746</v>
      </c>
      <c r="M45" s="3" t="n">
        <v>125745.83</v>
      </c>
      <c r="N45" s="3" t="n">
        <v>125745.83</v>
      </c>
      <c r="O45" s="3" t="n">
        <v>0.17</v>
      </c>
      <c r="P45" s="3" t="n">
        <v>125746</v>
      </c>
      <c r="Q45" s="3" t="n">
        <v>0</v>
      </c>
      <c r="R45" s="3" t="n">
        <v>1511114.23</v>
      </c>
      <c r="S45" s="3" t="n">
        <v>0</v>
      </c>
      <c r="T45" s="3" t="n">
        <v>18000</v>
      </c>
      <c r="U45" s="3" t="n">
        <v>1493114.23</v>
      </c>
      <c r="V45" s="3" t="n">
        <v>1493114.23</v>
      </c>
      <c r="W45" s="3" t="n">
        <v>1243114.23</v>
      </c>
      <c r="X45" s="3" t="n">
        <v>0</v>
      </c>
      <c r="Y45" s="3" t="n">
        <v>1511114.23</v>
      </c>
    </row>
    <row r="46">
      <c r="A46" s="2" t="inlineStr">
        <is>
          <t>22214.0</t>
        </is>
      </c>
      <c r="B46" s="2" t="inlineStr">
        <is>
          <t xml:space="preserve">SERVIÇO DE LIMPEZA URBANA </t>
        </is>
      </c>
      <c r="C46" s="2" t="inlineStr">
        <is>
          <t>15.452.6209.2079.6118</t>
        </is>
      </c>
      <c r="D46" s="2" t="inlineStr">
        <is>
          <t>MANUTENÇÃO DAS ATIVIDADES DE LIMPEZA PÚBLICA--DISTRITO FEDERAL</t>
        </is>
      </c>
      <c r="E46" s="2" t="inlineStr">
        <is>
          <t>339039</t>
        </is>
      </c>
      <c r="F46" s="2" t="inlineStr">
        <is>
          <t>102000000</t>
        </is>
      </c>
      <c r="G46" s="2" t="inlineStr">
        <is>
          <t>0</t>
        </is>
      </c>
      <c r="H46" s="3" t="n">
        <v>0</v>
      </c>
      <c r="I46" s="3" t="n">
        <v>26293860</v>
      </c>
      <c r="J46" s="3" t="n">
        <v>0</v>
      </c>
      <c r="K46" s="3" t="n">
        <v>0</v>
      </c>
      <c r="L46" s="3" t="n">
        <v>26293860</v>
      </c>
      <c r="M46" s="3" t="n">
        <v>26293860</v>
      </c>
      <c r="N46" s="3" t="n">
        <v>25951818.69</v>
      </c>
      <c r="O46" s="3" t="n">
        <v>0</v>
      </c>
      <c r="P46" s="3" t="n">
        <v>26293860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</row>
    <row r="47">
      <c r="A47" s="2" t="inlineStr">
        <is>
          <t>26205.0</t>
        </is>
      </c>
      <c r="B47" s="2" t="inlineStr">
        <is>
          <t>DEPARTAMENTO DE ESTRADAS DE RODAGEM</t>
        </is>
      </c>
      <c r="C47" s="2" t="inlineStr">
        <is>
          <t>26.782.6216.2885.0001</t>
        </is>
      </c>
      <c r="D47" s="2" t="inlineStr">
        <is>
          <t>MANUTENÇÃO DE MÁQUINAS E EQUIPAMENTOS-LEVES E PESADOS - DER-DF-DISTRITO FEDERAL</t>
        </is>
      </c>
      <c r="E47" s="2" t="inlineStr">
        <is>
          <t>339030</t>
        </is>
      </c>
      <c r="F47" s="2" t="inlineStr">
        <is>
          <t>437000000</t>
        </is>
      </c>
      <c r="G47" s="2" t="inlineStr">
        <is>
          <t>0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300000</v>
      </c>
      <c r="S47" s="3" t="n">
        <v>0</v>
      </c>
      <c r="T47" s="3" t="n">
        <v>0</v>
      </c>
      <c r="U47" s="3" t="n">
        <v>300000</v>
      </c>
      <c r="V47" s="3" t="n">
        <v>300000</v>
      </c>
      <c r="W47" s="3" t="n">
        <v>300000</v>
      </c>
      <c r="X47" s="3" t="n">
        <v>0</v>
      </c>
      <c r="Y47" s="3" t="n">
        <v>300000</v>
      </c>
    </row>
    <row r="48">
      <c r="A48" s="2" t="inlineStr">
        <is>
          <t>23901.0</t>
        </is>
      </c>
      <c r="B48" s="2" t="inlineStr">
        <is>
          <t>FUNDO DE SAÚDE DO DISTRITO FEDERAL</t>
        </is>
      </c>
      <c r="C48" s="2" t="inlineStr">
        <is>
          <t>10.302.6202.4206.0002</t>
        </is>
      </c>
      <c r="D48" s="2" t="inlineStr">
        <is>
          <t>EXECUÇÃO DE CONTRATOS DE GESTÃO-HOSPITAL DA CRIANÇA DE BRASÍLIA JOSÉ ALENCAR - HCB-DISTRITO FEDERAL</t>
        </is>
      </c>
      <c r="E48" s="2" t="inlineStr">
        <is>
          <t>445092</t>
        </is>
      </c>
      <c r="F48" s="2" t="inlineStr">
        <is>
          <t>100000000</t>
        </is>
      </c>
      <c r="G48" s="2" t="inlineStr">
        <is>
          <t>0</t>
        </is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922958</v>
      </c>
      <c r="S48" s="3" t="n">
        <v>0</v>
      </c>
      <c r="T48" s="3" t="n">
        <v>0.8</v>
      </c>
      <c r="U48" s="3" t="n">
        <v>922957.2</v>
      </c>
      <c r="V48" s="3" t="n">
        <v>922957.2</v>
      </c>
      <c r="W48" s="3" t="n">
        <v>922957.2</v>
      </c>
      <c r="X48" s="3" t="n">
        <v>0</v>
      </c>
      <c r="Y48" s="3" t="n">
        <v>922958</v>
      </c>
    </row>
    <row r="49">
      <c r="A49" s="2" t="inlineStr">
        <is>
          <t>64101.0</t>
        </is>
      </c>
      <c r="B49" s="2" t="inlineStr">
        <is>
          <t xml:space="preserve">SECRETARIA DE ESTADO ADMINISTRAÇÃO PENITENCIÁRIA DO DISTRITO FEDERAL </t>
        </is>
      </c>
      <c r="C49" s="2" t="inlineStr">
        <is>
          <t>06.422.6217.2540.0002</t>
        </is>
      </c>
      <c r="D49" s="2" t="inlineStr">
        <is>
          <t>FORNECIMENTO DE ALIMENTAÇÃO AOS PRESIDIÁRIOS-FORNECIMENTO DE ALIMENTAÇÃO AOS PRESIDIÁRIOS-SEAP-DISTRITO FEDERAL</t>
        </is>
      </c>
      <c r="E49" s="2" t="inlineStr">
        <is>
          <t>339092</t>
        </is>
      </c>
      <c r="F49" s="2" t="inlineStr">
        <is>
          <t>100000000</t>
        </is>
      </c>
      <c r="G49" s="2" t="inlineStr">
        <is>
          <t>0</t>
        </is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11942114</v>
      </c>
      <c r="S49" s="3" t="n">
        <v>0</v>
      </c>
      <c r="T49" s="3" t="n">
        <v>1.18</v>
      </c>
      <c r="U49" s="3" t="n">
        <v>11942112.82</v>
      </c>
      <c r="V49" s="3" t="n">
        <v>11942112.82</v>
      </c>
      <c r="W49" s="3" t="n">
        <v>11942112.82</v>
      </c>
      <c r="X49" s="3" t="n">
        <v>0</v>
      </c>
      <c r="Y49" s="3" t="n">
        <v>11942114</v>
      </c>
    </row>
    <row r="50">
      <c r="A50" s="2" t="inlineStr">
        <is>
          <t>23901.0</t>
        </is>
      </c>
      <c r="B50" s="2" t="inlineStr">
        <is>
          <t>FUNDO DE SAÚDE DO DISTRITO FEDERAL</t>
        </is>
      </c>
      <c r="C50" s="2" t="inlineStr">
        <is>
          <t>10.302.6202.4206.0002</t>
        </is>
      </c>
      <c r="D50" s="2" t="inlineStr">
        <is>
          <t>EXECUÇÃO DE CONTRATOS DE GESTÃO-HOSPITAL DA CRIANÇA DE BRASÍLIA JOSÉ ALENCAR - HCB-DISTRITO FEDERAL</t>
        </is>
      </c>
      <c r="E50" s="2" t="inlineStr">
        <is>
          <t>335085</t>
        </is>
      </c>
      <c r="F50" s="2" t="inlineStr">
        <is>
          <t>338000000</t>
        </is>
      </c>
      <c r="G50" s="2" t="inlineStr">
        <is>
          <t>0</t>
        </is>
      </c>
      <c r="H50" s="3" t="n">
        <v>0</v>
      </c>
      <c r="I50" s="3" t="n">
        <v>1891749</v>
      </c>
      <c r="J50" s="3" t="n">
        <v>0</v>
      </c>
      <c r="K50" s="3" t="n">
        <v>0</v>
      </c>
      <c r="L50" s="3" t="n">
        <v>1891749</v>
      </c>
      <c r="M50" s="3" t="n">
        <v>1891748.23</v>
      </c>
      <c r="N50" s="3" t="n">
        <v>1891748.23</v>
      </c>
      <c r="O50" s="3" t="n">
        <v>0.77</v>
      </c>
      <c r="P50" s="3" t="n">
        <v>1891749</v>
      </c>
      <c r="Q50" s="3" t="n">
        <v>0</v>
      </c>
      <c r="R50" s="3" t="n">
        <v>3000000</v>
      </c>
      <c r="S50" s="3" t="n">
        <v>0</v>
      </c>
      <c r="T50" s="3" t="n">
        <v>0</v>
      </c>
      <c r="U50" s="3" t="n">
        <v>3000000</v>
      </c>
      <c r="V50" s="3" t="n">
        <v>3000000</v>
      </c>
      <c r="W50" s="3" t="n">
        <v>3000000</v>
      </c>
      <c r="X50" s="3" t="n">
        <v>0</v>
      </c>
      <c r="Y50" s="3" t="n">
        <v>3000000</v>
      </c>
    </row>
    <row r="51">
      <c r="A51" s="2" t="inlineStr">
        <is>
          <t>23901.0</t>
        </is>
      </c>
      <c r="B51" s="2" t="inlineStr">
        <is>
          <t>FUNDO DE SAÚDE DO DISTRITO FEDERAL</t>
        </is>
      </c>
      <c r="C51" s="2" t="inlineStr">
        <is>
          <t>10.302.6202.4206.0001</t>
        </is>
      </c>
      <c r="D51" s="2" t="inlineStr">
        <is>
          <t>EXECUÇÃO DE CONTRATOS DE GESTÃO - INSTITUTO DE GESTÃO ESTRATÉGICA DE SAÚDE DO DISTRITO FEDERAL - DISTRITO FEDERAL</t>
        </is>
      </c>
      <c r="E51" s="2" t="inlineStr">
        <is>
          <t>335085</t>
        </is>
      </c>
      <c r="F51" s="2" t="inlineStr">
        <is>
          <t>100000000</t>
        </is>
      </c>
      <c r="G51" s="2" t="inlineStr">
        <is>
          <t>0</t>
        </is>
      </c>
      <c r="H51" s="3" t="n">
        <v>875332704</v>
      </c>
      <c r="I51" s="3" t="n">
        <v>164351065</v>
      </c>
      <c r="J51" s="3" t="n">
        <v>0</v>
      </c>
      <c r="K51" s="3" t="n">
        <v>0</v>
      </c>
      <c r="L51" s="3" t="n">
        <v>1039683769</v>
      </c>
      <c r="M51" s="3" t="n">
        <v>1039683769</v>
      </c>
      <c r="N51" s="3" t="n">
        <v>1031624931.57</v>
      </c>
      <c r="O51" s="3" t="n">
        <v>0</v>
      </c>
      <c r="P51" s="3" t="n">
        <v>1039683769</v>
      </c>
      <c r="Q51" s="3" t="n">
        <v>475080897</v>
      </c>
      <c r="R51" s="3" t="n">
        <v>-115938421</v>
      </c>
      <c r="S51" s="3" t="n">
        <v>0</v>
      </c>
      <c r="T51" s="3" t="n">
        <v>0.4</v>
      </c>
      <c r="U51" s="3" t="n">
        <v>359142475.6</v>
      </c>
      <c r="V51" s="3" t="n">
        <v>359142475.6</v>
      </c>
      <c r="W51" s="3" t="n">
        <v>354448724.85</v>
      </c>
      <c r="X51" s="3" t="n">
        <v>0</v>
      </c>
      <c r="Y51" s="3" t="n">
        <v>359142476</v>
      </c>
    </row>
    <row r="52">
      <c r="A52" s="2" t="inlineStr">
        <is>
          <t>18101.0</t>
        </is>
      </c>
      <c r="B52" s="2" t="inlineStr">
        <is>
          <t>SECRETARIA DE ESTADO DE  EDUCAÇÃO DO DISTRITO FEDERAL</t>
        </is>
      </c>
      <c r="C52" s="2" t="inlineStr">
        <is>
          <t>12.361.6221.4202.0004</t>
        </is>
      </c>
      <c r="D52" s="2" t="inlineStr">
        <is>
          <t>(OCA)CONCESSÃO DE PASSE LIVRE - ENSINO FUNDAMENTAL - REDE PÚBLICA - DISTRITO FEDERAL</t>
        </is>
      </c>
      <c r="E52" s="2" t="inlineStr">
        <is>
          <t>339039</t>
        </is>
      </c>
      <c r="F52" s="2" t="inlineStr">
        <is>
          <t>100000000</t>
        </is>
      </c>
      <c r="G52" s="2" t="inlineStr">
        <is>
          <t>0</t>
        </is>
      </c>
      <c r="H52" s="3" t="n">
        <v>77442686</v>
      </c>
      <c r="I52" s="3" t="n">
        <v>133530412</v>
      </c>
      <c r="J52" s="3" t="n">
        <v>0</v>
      </c>
      <c r="K52" s="3" t="n">
        <v>0</v>
      </c>
      <c r="L52" s="3" t="n">
        <v>210973098</v>
      </c>
      <c r="M52" s="3" t="n">
        <v>210973097.23</v>
      </c>
      <c r="N52" s="3" t="n">
        <v>210973097.23</v>
      </c>
      <c r="O52" s="3" t="n">
        <v>0.77</v>
      </c>
      <c r="P52" s="3" t="n">
        <v>210973098</v>
      </c>
      <c r="Q52" s="3" t="n">
        <v>41533749</v>
      </c>
      <c r="R52" s="3" t="n">
        <v>4161212.39</v>
      </c>
      <c r="S52" s="3" t="n">
        <v>0</v>
      </c>
      <c r="T52" s="3" t="n">
        <v>0</v>
      </c>
      <c r="U52" s="3" t="n">
        <v>45694961.39</v>
      </c>
      <c r="V52" s="3" t="n">
        <v>44498681.67</v>
      </c>
      <c r="W52" s="3" t="n">
        <v>44137906.52</v>
      </c>
      <c r="X52" s="3" t="n">
        <v>1196279.72</v>
      </c>
      <c r="Y52" s="3" t="n">
        <v>45694961.39</v>
      </c>
    </row>
    <row r="53">
      <c r="A53" s="2" t="inlineStr">
        <is>
          <t>26101.0</t>
        </is>
      </c>
      <c r="B53" s="2" t="inlineStr">
        <is>
          <t>SECRETARIA DE ESTADO DE TRANSPORTE E MOBILIDADE DO DISTRITO FEDERAL</t>
        </is>
      </c>
      <c r="C53" s="2" t="inlineStr">
        <is>
          <t>26.453.6216.2455.0002</t>
        </is>
      </c>
      <c r="D53" s="2" t="inlineStr">
        <is>
          <t>MANUTENÇÃO DO EQUILÍBRIO FINANCEIRO DO SISTEMA DE TRANSPORTE PÚBLICO COLETIVO - STPC--DISTRITO FEDERAL</t>
        </is>
      </c>
      <c r="E53" s="2" t="inlineStr">
        <is>
          <t>339092</t>
        </is>
      </c>
      <c r="F53" s="2" t="inlineStr">
        <is>
          <t>100000000</t>
        </is>
      </c>
      <c r="G53" s="2" t="inlineStr">
        <is>
          <t>0</t>
        </is>
      </c>
      <c r="H53" s="3" t="n">
        <v>0</v>
      </c>
      <c r="I53" s="3" t="n">
        <v>100083901</v>
      </c>
      <c r="J53" s="3" t="n">
        <v>0</v>
      </c>
      <c r="K53" s="3" t="n">
        <v>0</v>
      </c>
      <c r="L53" s="3" t="n">
        <v>100083901</v>
      </c>
      <c r="M53" s="3" t="n">
        <v>100083900.14</v>
      </c>
      <c r="N53" s="3" t="n">
        <v>100083900.14</v>
      </c>
      <c r="O53" s="3" t="n">
        <v>0.86</v>
      </c>
      <c r="P53" s="3" t="n">
        <v>100083901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</row>
    <row r="54">
      <c r="A54" s="2" t="inlineStr">
        <is>
          <t>26205.0</t>
        </is>
      </c>
      <c r="B54" s="2" t="inlineStr">
        <is>
          <t>DEPARTAMENTO DE ESTRADAS DE RODAGEM</t>
        </is>
      </c>
      <c r="C54" s="2" t="inlineStr">
        <is>
          <t>26.782.6216.4195.0001</t>
        </is>
      </c>
      <c r="D54" s="2" t="inlineStr">
        <is>
          <t>CONSERVAÇÃO DE  RODOVIAS-PREVENTIVA E CORRETIVA-DER-DF-DISTRITO FEDERAL</t>
        </is>
      </c>
      <c r="E54" s="2" t="inlineStr">
        <is>
          <t>339037</t>
        </is>
      </c>
      <c r="F54" s="2" t="inlineStr">
        <is>
          <t>237000000</t>
        </is>
      </c>
      <c r="G54" s="2" t="inlineStr">
        <is>
          <t>0</t>
        </is>
      </c>
      <c r="H54" s="3" t="n">
        <v>800000</v>
      </c>
      <c r="I54" s="3" t="n">
        <v>4830788.34</v>
      </c>
      <c r="J54" s="3" t="n">
        <v>0</v>
      </c>
      <c r="K54" s="3" t="n">
        <v>0</v>
      </c>
      <c r="L54" s="3" t="n">
        <v>5630788.34</v>
      </c>
      <c r="M54" s="3" t="n">
        <v>5630788.34</v>
      </c>
      <c r="N54" s="3" t="n">
        <v>5630788.34</v>
      </c>
      <c r="O54" s="3" t="n">
        <v>0</v>
      </c>
      <c r="P54" s="3" t="n">
        <v>5630788.34</v>
      </c>
      <c r="Q54" s="3" t="n">
        <v>0</v>
      </c>
      <c r="R54" s="3" t="n">
        <v>2639948.01</v>
      </c>
      <c r="S54" s="3" t="n">
        <v>0</v>
      </c>
      <c r="T54" s="3" t="n">
        <v>0</v>
      </c>
      <c r="U54" s="3" t="n">
        <v>2639948.01</v>
      </c>
      <c r="V54" s="3" t="n">
        <v>2639948.01</v>
      </c>
      <c r="W54" s="3" t="n">
        <v>2639948.01</v>
      </c>
      <c r="X54" s="3" t="n">
        <v>0</v>
      </c>
      <c r="Y54" s="3" t="n">
        <v>2639948.01</v>
      </c>
    </row>
    <row r="55">
      <c r="A55" s="2" t="inlineStr">
        <is>
          <t>19101.0</t>
        </is>
      </c>
      <c r="B55" s="2" t="inlineStr">
        <is>
          <t xml:space="preserve">SECRETARIA DE ESTADO DE ECONOMIA  DO DISTRITO FEDERAL                                                                                                 </t>
        </is>
      </c>
      <c r="C55" s="2" t="inlineStr">
        <is>
          <t>04.122.8203.2984.0001</t>
        </is>
      </c>
      <c r="D55" s="2" t="inlineStr">
        <is>
          <t>MANUTENÇÃO DA FROTA OFICIAL DE VEÍCULOS-DISTRITO FEDERAL-DISTRITO FEDERAL</t>
        </is>
      </c>
      <c r="E55" s="2" t="inlineStr">
        <is>
          <t>339039</t>
        </is>
      </c>
      <c r="F55" s="2" t="inlineStr">
        <is>
          <t>183000000</t>
        </is>
      </c>
      <c r="G55" s="2" t="inlineStr">
        <is>
          <t>0</t>
        </is>
      </c>
      <c r="H55" s="3" t="n">
        <v>44490000</v>
      </c>
      <c r="I55" s="3" t="n">
        <v>-3000000</v>
      </c>
      <c r="J55" s="3" t="n">
        <v>0</v>
      </c>
      <c r="K55" s="3" t="n">
        <v>0</v>
      </c>
      <c r="L55" s="3" t="n">
        <v>41490000</v>
      </c>
      <c r="M55" s="3" t="n">
        <v>41483381.16</v>
      </c>
      <c r="N55" s="3" t="n">
        <v>37983948.74</v>
      </c>
      <c r="O55" s="3" t="n">
        <v>6618.84</v>
      </c>
      <c r="P55" s="3" t="n">
        <v>41490000</v>
      </c>
      <c r="Q55" s="3" t="n">
        <v>84880000</v>
      </c>
      <c r="R55" s="3" t="n">
        <v>-18063388</v>
      </c>
      <c r="S55" s="3" t="n">
        <v>0.95</v>
      </c>
      <c r="T55" s="3" t="n">
        <v>0.98</v>
      </c>
      <c r="U55" s="3" t="n">
        <v>66816610.07</v>
      </c>
      <c r="V55" s="3" t="n">
        <v>66816609.73</v>
      </c>
      <c r="W55" s="3" t="n">
        <v>36571748.47</v>
      </c>
      <c r="X55" s="3" t="n">
        <v>0.34</v>
      </c>
      <c r="Y55" s="3" t="n">
        <v>66816612</v>
      </c>
    </row>
    <row r="56">
      <c r="A56" s="2" t="inlineStr">
        <is>
          <t>18101.0</t>
        </is>
      </c>
      <c r="B56" s="2" t="inlineStr">
        <is>
          <t>SECRETARIA DE ESTADO DE  EDUCAÇÃO DO DISTRITO FEDERAL</t>
        </is>
      </c>
      <c r="C56" s="2" t="inlineStr">
        <is>
          <t>12.122.6221.4091.0096</t>
        </is>
      </c>
      <c r="D56" s="2" t="inlineStr">
        <is>
          <t>APOIO A PROJETOS-EDUCADOR SOCIAL VOLUNTÁRIO (ESV)-DISTRITO FEDERAL</t>
        </is>
      </c>
      <c r="E56" s="2" t="inlineStr">
        <is>
          <t>339048</t>
        </is>
      </c>
      <c r="F56" s="2" t="inlineStr">
        <is>
          <t>100000000</t>
        </is>
      </c>
      <c r="G56" s="2" t="inlineStr">
        <is>
          <t>0</t>
        </is>
      </c>
      <c r="H56" s="3" t="n">
        <v>31231192</v>
      </c>
      <c r="I56" s="3" t="n">
        <v>547876</v>
      </c>
      <c r="J56" s="3" t="n">
        <v>0</v>
      </c>
      <c r="K56" s="3" t="n">
        <v>0</v>
      </c>
      <c r="L56" s="3" t="n">
        <v>31779068</v>
      </c>
      <c r="M56" s="3" t="n">
        <v>31779068</v>
      </c>
      <c r="N56" s="3" t="n">
        <v>31779068</v>
      </c>
      <c r="O56" s="3" t="n">
        <v>0</v>
      </c>
      <c r="P56" s="3" t="n">
        <v>31779068</v>
      </c>
      <c r="Q56" s="3" t="n">
        <v>55617167</v>
      </c>
      <c r="R56" s="3" t="n">
        <v>12301737.56</v>
      </c>
      <c r="S56" s="3" t="n">
        <v>0.16</v>
      </c>
      <c r="T56" s="3" t="n">
        <v>100000</v>
      </c>
      <c r="U56" s="3" t="n">
        <v>67818904.40000001</v>
      </c>
      <c r="V56" s="3" t="n">
        <v>63617760</v>
      </c>
      <c r="W56" s="3" t="n">
        <v>63617760</v>
      </c>
      <c r="X56" s="3" t="n">
        <v>4201144.4</v>
      </c>
      <c r="Y56" s="3" t="n">
        <v>67918904.56</v>
      </c>
    </row>
    <row r="57">
      <c r="A57" s="2" t="inlineStr">
        <is>
          <t>23901.0</t>
        </is>
      </c>
      <c r="B57" s="2" t="inlineStr">
        <is>
          <t>FUNDO DE SAÚDE DO DISTRITO FEDERAL</t>
        </is>
      </c>
      <c r="C57" s="2" t="inlineStr">
        <is>
          <t>10.302.6202.4206.0002</t>
        </is>
      </c>
      <c r="D57" s="2" t="inlineStr">
        <is>
          <t>EXECUÇÃO DE CONTRATOS DE GESTÃO-HOSPITAL DA CRIANÇA DE BRASÍLIA JOSÉ ALENCAR - HCB-DISTRITO FEDERAL</t>
        </is>
      </c>
      <c r="E57" s="2" t="inlineStr">
        <is>
          <t>445042</t>
        </is>
      </c>
      <c r="F57" s="2" t="inlineStr">
        <is>
          <t>335000000</t>
        </is>
      </c>
      <c r="G57" s="2" t="inlineStr">
        <is>
          <t>0</t>
        </is>
      </c>
      <c r="H57" s="3" t="n">
        <v>0</v>
      </c>
      <c r="I57" s="3" t="n">
        <v>3172864.16</v>
      </c>
      <c r="J57" s="3" t="n">
        <v>0</v>
      </c>
      <c r="K57" s="3" t="n">
        <v>0</v>
      </c>
      <c r="L57" s="3" t="n">
        <v>3172864.16</v>
      </c>
      <c r="M57" s="3" t="n">
        <v>0</v>
      </c>
      <c r="N57" s="3" t="n">
        <v>0</v>
      </c>
      <c r="O57" s="3" t="n">
        <v>3172864.16</v>
      </c>
      <c r="P57" s="3" t="n">
        <v>3172864.16</v>
      </c>
      <c r="Q57" s="3" t="n">
        <v>0</v>
      </c>
      <c r="R57" s="3" t="n">
        <v>4422746</v>
      </c>
      <c r="S57" s="3" t="n">
        <v>0</v>
      </c>
      <c r="T57" s="3" t="n">
        <v>0</v>
      </c>
      <c r="U57" s="3" t="n">
        <v>4422746</v>
      </c>
      <c r="V57" s="3" t="n">
        <v>0</v>
      </c>
      <c r="W57" s="3" t="n">
        <v>0</v>
      </c>
      <c r="X57" s="3" t="n">
        <v>4422746</v>
      </c>
      <c r="Y57" s="3" t="n">
        <v>4422746</v>
      </c>
    </row>
    <row r="58">
      <c r="A58" s="2" t="inlineStr">
        <is>
          <t>26206.0</t>
        </is>
      </c>
      <c r="B58" s="2" t="inlineStr">
        <is>
          <t>COMPANHIA DO METROPOLITANO DO DISTRITO FEDERAL</t>
        </is>
      </c>
      <c r="C58" s="2" t="inlineStr">
        <is>
          <t>26.453.6216.2756.6137</t>
        </is>
      </c>
      <c r="D58" s="2" t="inlineStr">
        <is>
          <t>MANUTENÇÃO E FUNCIONAMENTO DO SISTEMA FERROVIÁRIO-DF</t>
        </is>
      </c>
      <c r="E58" s="2" t="inlineStr">
        <is>
          <t>339030</t>
        </is>
      </c>
      <c r="F58" s="2" t="inlineStr">
        <is>
          <t>183000000</t>
        </is>
      </c>
      <c r="G58" s="2" t="inlineStr">
        <is>
          <t>0</t>
        </is>
      </c>
      <c r="H58" s="3" t="n">
        <v>0</v>
      </c>
      <c r="I58" s="3" t="n">
        <v>252592.35</v>
      </c>
      <c r="J58" s="3" t="n">
        <v>0</v>
      </c>
      <c r="K58" s="3" t="n">
        <v>0</v>
      </c>
      <c r="L58" s="3" t="n">
        <v>252592.35</v>
      </c>
      <c r="M58" s="3" t="n">
        <v>252592.35</v>
      </c>
      <c r="N58" s="3" t="n">
        <v>252592.35</v>
      </c>
      <c r="O58" s="3" t="n">
        <v>0</v>
      </c>
      <c r="P58" s="3" t="n">
        <v>252592.35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</row>
    <row r="59">
      <c r="A59" s="2" t="inlineStr">
        <is>
          <t>26206.0</t>
        </is>
      </c>
      <c r="B59" s="2" t="inlineStr">
        <is>
          <t>COMPANHIA DO METROPOLITANO DO DISTRITO FEDERAL</t>
        </is>
      </c>
      <c r="C59" s="2" t="inlineStr">
        <is>
          <t>26.453.6216.2756.6137</t>
        </is>
      </c>
      <c r="D59" s="2" t="inlineStr">
        <is>
          <t>MANUTENÇÃO E FUNCIONAMENTO DO SISTEMA FERROVIÁRIO-DF</t>
        </is>
      </c>
      <c r="E59" s="2" t="inlineStr">
        <is>
          <t>339047</t>
        </is>
      </c>
      <c r="F59" s="2" t="inlineStr">
        <is>
          <t>100000000</t>
        </is>
      </c>
      <c r="G59" s="2" t="inlineStr">
        <is>
          <t>0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1852.28</v>
      </c>
      <c r="S59" s="3" t="n">
        <v>0</v>
      </c>
      <c r="T59" s="3" t="n">
        <v>0</v>
      </c>
      <c r="U59" s="3" t="n">
        <v>1852.28</v>
      </c>
      <c r="V59" s="3" t="n">
        <v>1852.28</v>
      </c>
      <c r="W59" s="3" t="n">
        <v>1852.28</v>
      </c>
      <c r="X59" s="3" t="n">
        <v>0</v>
      </c>
      <c r="Y59" s="3" t="n">
        <v>1852.28</v>
      </c>
    </row>
    <row r="60">
      <c r="A60" s="2" t="inlineStr">
        <is>
          <t>26101.0</t>
        </is>
      </c>
      <c r="B60" s="2" t="inlineStr">
        <is>
          <t>SECRETARIA DE ESTADO DE TRANSPORTE E MOBILIDADE DO DISTRITO FEDERAL</t>
        </is>
      </c>
      <c r="C60" s="2" t="inlineStr">
        <is>
          <t>26.453.6216.2455.0002</t>
        </is>
      </c>
      <c r="D60" s="2" t="inlineStr">
        <is>
          <t>MANUTENÇÃO DO EQUILÍBRIO FINANCEIRO DO SISTEMA DE TRANSPORTE PÚBLICO COLETIVO - STPC--DISTRITO FEDERAL</t>
        </is>
      </c>
      <c r="E60" s="2" t="inlineStr">
        <is>
          <t>339048</t>
        </is>
      </c>
      <c r="F60" s="2" t="inlineStr">
        <is>
          <t>100000000</t>
        </is>
      </c>
      <c r="G60" s="2" t="inlineStr">
        <is>
          <t>0</t>
        </is>
      </c>
      <c r="H60" s="3" t="n">
        <v>0</v>
      </c>
      <c r="I60" s="3" t="n">
        <v>9313656.26</v>
      </c>
      <c r="J60" s="3" t="n">
        <v>0</v>
      </c>
      <c r="K60" s="3" t="n">
        <v>0</v>
      </c>
      <c r="L60" s="3" t="n">
        <v>9313656.26</v>
      </c>
      <c r="M60" s="3" t="n">
        <v>9313656.25</v>
      </c>
      <c r="N60" s="3" t="n">
        <v>9250656.25</v>
      </c>
      <c r="O60" s="3" t="n">
        <v>0.01</v>
      </c>
      <c r="P60" s="3" t="n">
        <v>9313656.26</v>
      </c>
      <c r="Q60" s="3" t="n">
        <v>0</v>
      </c>
      <c r="R60" s="3" t="n">
        <v>10105123.92</v>
      </c>
      <c r="S60" s="3" t="n">
        <v>0</v>
      </c>
      <c r="T60" s="3" t="n">
        <v>0</v>
      </c>
      <c r="U60" s="3" t="n">
        <v>10105123.92</v>
      </c>
      <c r="V60" s="3" t="n">
        <v>7946953.92</v>
      </c>
      <c r="W60" s="3" t="n">
        <v>7946953.92</v>
      </c>
      <c r="X60" s="3" t="n">
        <v>2158170</v>
      </c>
      <c r="Y60" s="3" t="n">
        <v>10105123.92</v>
      </c>
    </row>
    <row r="61">
      <c r="A61" s="2" t="inlineStr">
        <is>
          <t>26101.0</t>
        </is>
      </c>
      <c r="B61" s="2" t="inlineStr">
        <is>
          <t>SECRETARIA DE ESTADO DE TRANSPORTE E MOBILIDADE DO DISTRITO FEDERAL</t>
        </is>
      </c>
      <c r="C61" s="2" t="inlineStr">
        <is>
          <t>26.453.6216.4202.0002</t>
        </is>
      </c>
      <c r="D61" s="2" t="inlineStr">
        <is>
          <t>CONCESSÃO DE PASSE LIVRE-PORTADORES DE NECESSIDADES ESPECIAIS PNE-DISTRITO FEDERAL</t>
        </is>
      </c>
      <c r="E61" s="2" t="inlineStr">
        <is>
          <t>339092</t>
        </is>
      </c>
      <c r="F61" s="2" t="inlineStr">
        <is>
          <t>100000000</t>
        </is>
      </c>
      <c r="G61" s="2" t="inlineStr">
        <is>
          <t>0</t>
        </is>
      </c>
      <c r="H61" s="3" t="n">
        <v>0</v>
      </c>
      <c r="I61" s="3" t="n">
        <v>17016776</v>
      </c>
      <c r="J61" s="3" t="n">
        <v>0</v>
      </c>
      <c r="K61" s="3" t="n">
        <v>0</v>
      </c>
      <c r="L61" s="3" t="n">
        <v>17016776</v>
      </c>
      <c r="M61" s="3" t="n">
        <v>17016774.29</v>
      </c>
      <c r="N61" s="3" t="n">
        <v>17016774.29</v>
      </c>
      <c r="O61" s="3" t="n">
        <v>1.71</v>
      </c>
      <c r="P61" s="3" t="n">
        <v>17016776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</row>
    <row r="62">
      <c r="A62" s="2" t="inlineStr">
        <is>
          <t>26205.0</t>
        </is>
      </c>
      <c r="B62" s="2" t="inlineStr">
        <is>
          <t>DEPARTAMENTO DE ESTRADAS DE RODAGEM</t>
        </is>
      </c>
      <c r="C62" s="2" t="inlineStr">
        <is>
          <t>26.782.6216.2885.0001</t>
        </is>
      </c>
      <c r="D62" s="2" t="inlineStr">
        <is>
          <t>MANUTENÇÃO DE MÁQUINAS E EQUIPAMENTOS-LEVES E PESADOS - DER-DF-DISTRITO FEDERAL</t>
        </is>
      </c>
      <c r="E62" s="2" t="inlineStr">
        <is>
          <t>339039</t>
        </is>
      </c>
      <c r="F62" s="2" t="inlineStr">
        <is>
          <t>220000000</t>
        </is>
      </c>
      <c r="G62" s="2" t="inlineStr">
        <is>
          <t>0</t>
        </is>
      </c>
      <c r="H62" s="3" t="n">
        <v>2000000</v>
      </c>
      <c r="I62" s="3" t="n">
        <v>-1703840</v>
      </c>
      <c r="J62" s="3" t="n">
        <v>0</v>
      </c>
      <c r="K62" s="3" t="n">
        <v>0</v>
      </c>
      <c r="L62" s="3" t="n">
        <v>296160</v>
      </c>
      <c r="M62" s="3" t="n">
        <v>271072.43</v>
      </c>
      <c r="N62" s="3" t="n">
        <v>271072.43</v>
      </c>
      <c r="O62" s="3" t="n">
        <v>25087.57</v>
      </c>
      <c r="P62" s="3" t="n">
        <v>296160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</row>
    <row r="63">
      <c r="A63" s="2" t="inlineStr">
        <is>
          <t>23901.0</t>
        </is>
      </c>
      <c r="B63" s="2" t="inlineStr">
        <is>
          <t>FUNDO DE SAÚDE DO DISTRITO FEDERAL</t>
        </is>
      </c>
      <c r="C63" s="2" t="inlineStr">
        <is>
          <t>10.302.6202.4206.0001</t>
        </is>
      </c>
      <c r="D63" s="2" t="inlineStr">
        <is>
          <t>EXECUÇÃO DE CONTRATOS DE GESTÃO - INSTITUTO DE GESTÃO ESTRATÉGICA DE SAÚDE DO DISTRITO FEDERAL - DISTRITO FEDERAL</t>
        </is>
      </c>
      <c r="E63" s="2" t="inlineStr">
        <is>
          <t>445092</t>
        </is>
      </c>
      <c r="F63" s="2" t="inlineStr">
        <is>
          <t>100000000</t>
        </is>
      </c>
      <c r="G63" s="2" t="inlineStr">
        <is>
          <t>0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23468750</v>
      </c>
      <c r="S63" s="3" t="n">
        <v>0</v>
      </c>
      <c r="T63" s="3" t="n">
        <v>0</v>
      </c>
      <c r="U63" s="3" t="n">
        <v>23468750</v>
      </c>
      <c r="V63" s="3" t="n">
        <v>23468750</v>
      </c>
      <c r="W63" s="3" t="n">
        <v>23468750</v>
      </c>
      <c r="X63" s="3" t="n">
        <v>0</v>
      </c>
      <c r="Y63" s="3" t="n">
        <v>23468750</v>
      </c>
    </row>
    <row r="64">
      <c r="A64" s="2" t="inlineStr">
        <is>
          <t>22201.0</t>
        </is>
      </c>
      <c r="B64" s="2" t="inlineStr">
        <is>
          <t xml:space="preserve">COMPANHIA URBANIZADORA DA NOVA CAPITAL </t>
        </is>
      </c>
      <c r="C64" s="2" t="inlineStr">
        <is>
          <t>17.512.6209.2903.0001</t>
        </is>
      </c>
      <c r="D64" s="2" t="inlineStr">
        <is>
          <t>MANUTENÇÃO DE REDES DE ÁGUAS PLUVIAIS--DISTRITO FEDERAL</t>
        </is>
      </c>
      <c r="E64" s="2" t="inlineStr">
        <is>
          <t>339030</t>
        </is>
      </c>
      <c r="F64" s="2" t="inlineStr">
        <is>
          <t>101000000</t>
        </is>
      </c>
      <c r="G64" s="2" t="inlineStr">
        <is>
          <t>0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2550000</v>
      </c>
      <c r="S64" s="3" t="n">
        <v>0</v>
      </c>
      <c r="T64" s="3" t="n">
        <v>0</v>
      </c>
      <c r="U64" s="3" t="n">
        <v>2550000</v>
      </c>
      <c r="V64" s="3" t="n">
        <v>2550000</v>
      </c>
      <c r="W64" s="3" t="n">
        <v>0</v>
      </c>
      <c r="X64" s="3" t="n">
        <v>0</v>
      </c>
      <c r="Y64" s="3" t="n">
        <v>2550000</v>
      </c>
    </row>
    <row r="65">
      <c r="A65" s="2" t="inlineStr">
        <is>
          <t>22201.0</t>
        </is>
      </c>
      <c r="B65" s="2" t="inlineStr">
        <is>
          <t xml:space="preserve">COMPANHIA URBANIZADORA DA NOVA CAPITAL </t>
        </is>
      </c>
      <c r="C65" s="2" t="inlineStr">
        <is>
          <t>15.452.6209.8508.0002</t>
        </is>
      </c>
      <c r="D65" s="2" t="inlineStr">
        <is>
          <t>MANUTENÇÃO DE ÁREAS URBANIZADAS E AJARDINADAS-MANUTENÇÃO DE VIAS PÚBLICAS-DISTRITO FEDERAL</t>
        </is>
      </c>
      <c r="E65" s="2" t="inlineStr">
        <is>
          <t>339030</t>
        </is>
      </c>
      <c r="F65" s="2" t="inlineStr">
        <is>
          <t>183000000</t>
        </is>
      </c>
      <c r="G65" s="2" t="inlineStr">
        <is>
          <t>0</t>
        </is>
      </c>
      <c r="H65" s="3" t="n">
        <v>0</v>
      </c>
      <c r="I65" s="3" t="n">
        <v>3034967.09</v>
      </c>
      <c r="J65" s="3" t="n">
        <v>0.9</v>
      </c>
      <c r="K65" s="3" t="n">
        <v>0</v>
      </c>
      <c r="L65" s="3" t="n">
        <v>3034966.19</v>
      </c>
      <c r="M65" s="3" t="n">
        <v>3032806.1</v>
      </c>
      <c r="N65" s="3" t="n">
        <v>3023272.58</v>
      </c>
      <c r="O65" s="3" t="n">
        <v>2160.09</v>
      </c>
      <c r="P65" s="3" t="n">
        <v>3034967.09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</row>
    <row r="66">
      <c r="A66" s="2" t="inlineStr">
        <is>
          <t>19101.0</t>
        </is>
      </c>
      <c r="B66" s="2" t="inlineStr">
        <is>
          <t xml:space="preserve">SECRETARIA DE ESTADO DE ECONOMIA  DO DISTRITO FEDERAL                                                                                                 </t>
        </is>
      </c>
      <c r="C66" s="2" t="inlineStr">
        <is>
          <t>04.122.8203.2984.0001</t>
        </is>
      </c>
      <c r="D66" s="2" t="inlineStr">
        <is>
          <t>MANUTENÇÃO DA FROTA OFICIAL DE VEÍCULOS-DISTRITO FEDERAL-DISTRITO FEDERAL</t>
        </is>
      </c>
      <c r="E66" s="2" t="inlineStr">
        <is>
          <t>339093</t>
        </is>
      </c>
      <c r="F66" s="2" t="inlineStr">
        <is>
          <t>100000000</t>
        </is>
      </c>
      <c r="G66" s="2" t="inlineStr">
        <is>
          <t>0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5278.76</v>
      </c>
      <c r="S66" s="3" t="n">
        <v>0</v>
      </c>
      <c r="T66" s="3" t="n">
        <v>0</v>
      </c>
      <c r="U66" s="3" t="n">
        <v>5278.76</v>
      </c>
      <c r="V66" s="3" t="n">
        <v>1053.25</v>
      </c>
      <c r="W66" s="3" t="n">
        <v>1053.25</v>
      </c>
      <c r="X66" s="3" t="n">
        <v>4225.51</v>
      </c>
      <c r="Y66" s="3" t="n">
        <v>5278.76</v>
      </c>
    </row>
    <row r="67">
      <c r="A67" s="2" t="inlineStr">
        <is>
          <t>23901.0</t>
        </is>
      </c>
      <c r="B67" s="2" t="inlineStr">
        <is>
          <t>FUNDO DE SAÚDE DO DISTRITO FEDERAL</t>
        </is>
      </c>
      <c r="C67" s="2" t="inlineStr">
        <is>
          <t>10.302.6202.4206.0002</t>
        </is>
      </c>
      <c r="D67" s="2" t="inlineStr">
        <is>
          <t>EXECUÇÃO DE CONTRATOS DE GESTÃO-HOSPITAL DA CRIANÇA DE BRASÍLIA JOSÉ ALENCAR - HCB-DISTRITO FEDERAL</t>
        </is>
      </c>
      <c r="E67" s="2" t="inlineStr">
        <is>
          <t>445085</t>
        </is>
      </c>
      <c r="F67" s="2" t="inlineStr">
        <is>
          <t>100000000</t>
        </is>
      </c>
      <c r="G67" s="2" t="inlineStr">
        <is>
          <t>0</t>
        </is>
      </c>
      <c r="H67" s="3" t="n">
        <v>0</v>
      </c>
      <c r="I67" s="3" t="n">
        <v>3075096</v>
      </c>
      <c r="J67" s="3" t="n">
        <v>0</v>
      </c>
      <c r="K67" s="3" t="n">
        <v>0</v>
      </c>
      <c r="L67" s="3" t="n">
        <v>3075096</v>
      </c>
      <c r="M67" s="3" t="n">
        <v>3075095.58</v>
      </c>
      <c r="N67" s="3" t="n">
        <v>3075095.58</v>
      </c>
      <c r="O67" s="3" t="n">
        <v>0.42</v>
      </c>
      <c r="P67" s="3" t="n">
        <v>3075096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</row>
    <row r="68">
      <c r="A68" s="2" t="inlineStr">
        <is>
          <t>64101.0</t>
        </is>
      </c>
      <c r="B68" s="2" t="inlineStr">
        <is>
          <t xml:space="preserve">SECRETARIA DE ESTADO ADMINISTRAÇÃO PENITENCIÁRIA DO DISTRITO FEDERAL </t>
        </is>
      </c>
      <c r="C68" s="2" t="inlineStr">
        <is>
          <t>06.421.6217.2727.0006</t>
        </is>
      </c>
      <c r="D68" s="2" t="inlineStr">
        <is>
          <t>MANUTENÇÃO DO SISTEMA PENITENCIÁRIO DO DF- MANUTENÇÃO DO SISTEMA PENITENCIÁRIO DO DF-DISTRITO FEDERAL</t>
        </is>
      </c>
      <c r="E68" s="2" t="inlineStr">
        <is>
          <t>339014</t>
        </is>
      </c>
      <c r="F68" s="2" t="inlineStr">
        <is>
          <t>100000000</t>
        </is>
      </c>
      <c r="G68" s="2" t="inlineStr">
        <is>
          <t>6</t>
        </is>
      </c>
      <c r="H68" s="3" t="n">
        <v>0</v>
      </c>
      <c r="I68" s="3" t="n">
        <v>70000</v>
      </c>
      <c r="J68" s="3" t="n">
        <v>0</v>
      </c>
      <c r="K68" s="3" t="n">
        <v>0</v>
      </c>
      <c r="L68" s="3" t="n">
        <v>70000</v>
      </c>
      <c r="M68" s="3" t="n">
        <v>69264.92</v>
      </c>
      <c r="N68" s="3" t="n">
        <v>69264.92</v>
      </c>
      <c r="O68" s="3" t="n">
        <v>735.08</v>
      </c>
      <c r="P68" s="3" t="n">
        <v>70000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</row>
    <row r="69">
      <c r="A69" s="2" t="inlineStr">
        <is>
          <t>64101.0</t>
        </is>
      </c>
      <c r="B69" s="2" t="inlineStr">
        <is>
          <t xml:space="preserve">SECRETARIA DE ESTADO ADMINISTRAÇÃO PENITENCIÁRIA DO DISTRITO FEDERAL </t>
        </is>
      </c>
      <c r="C69" s="2" t="inlineStr">
        <is>
          <t>06.421.6217.2727.0006</t>
        </is>
      </c>
      <c r="D69" s="2" t="inlineStr">
        <is>
          <t>MANUTENÇÃO DO SISTEMA PENITENCIÁRIO DO DF- MANUTENÇÃO DO SISTEMA PENITENCIÁRIO DO DF-DISTRITO FEDERAL</t>
        </is>
      </c>
      <c r="E69" s="2" t="inlineStr">
        <is>
          <t>339036</t>
        </is>
      </c>
      <c r="F69" s="2" t="inlineStr">
        <is>
          <t>100000000</t>
        </is>
      </c>
      <c r="G69" s="2" t="inlineStr">
        <is>
          <t>0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</row>
    <row r="70">
      <c r="A70" s="2" t="inlineStr">
        <is>
          <t>18101.0</t>
        </is>
      </c>
      <c r="B70" s="2" t="inlineStr">
        <is>
          <t>SECRETARIA DE ESTADO DE  EDUCAÇÃO DO DISTRITO FEDERAL</t>
        </is>
      </c>
      <c r="C70" s="2" t="inlineStr">
        <is>
          <t>12.453.6221.4202.0010</t>
        </is>
      </c>
      <c r="D70" s="2" t="inlineStr">
        <is>
          <t>CONCESSÃO DE PASSE LIVRE - PLE - OUTROS - DISTRITO FEDERAL</t>
        </is>
      </c>
      <c r="E70" s="2" t="inlineStr">
        <is>
          <t>339139</t>
        </is>
      </c>
      <c r="F70" s="2" t="inlineStr">
        <is>
          <t>100000000</t>
        </is>
      </c>
      <c r="G70" s="2" t="inlineStr">
        <is>
          <t>0</t>
        </is>
      </c>
      <c r="H70" s="3" t="n">
        <v>12597552</v>
      </c>
      <c r="I70" s="3" t="n">
        <v>0</v>
      </c>
      <c r="J70" s="3" t="n">
        <v>0</v>
      </c>
      <c r="K70" s="3" t="n">
        <v>0</v>
      </c>
      <c r="L70" s="3" t="n">
        <v>12597552</v>
      </c>
      <c r="M70" s="3" t="n">
        <v>12597552</v>
      </c>
      <c r="N70" s="3" t="n">
        <v>12597552</v>
      </c>
      <c r="O70" s="3" t="n">
        <v>0</v>
      </c>
      <c r="P70" s="3" t="n">
        <v>12597552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</row>
    <row r="71">
      <c r="A71" s="2" t="inlineStr">
        <is>
          <t>19101.0</t>
        </is>
      </c>
      <c r="B71" s="2" t="inlineStr">
        <is>
          <t xml:space="preserve">SECRETARIA DE ESTADO DE ECONOMIA  DO DISTRITO FEDERAL                                                                                                 </t>
        </is>
      </c>
      <c r="C71" s="2" t="inlineStr">
        <is>
          <t>04.122.8203.2990.0006</t>
        </is>
      </c>
      <c r="D71" s="2" t="inlineStr">
        <is>
          <t>MANUTENÇÃO DE BENS IMÓVEIS DO GDF-VIGILÂNCIA-DISTRITO FEDERAL</t>
        </is>
      </c>
      <c r="E71" s="2" t="inlineStr">
        <is>
          <t>339037</t>
        </is>
      </c>
      <c r="F71" s="2" t="inlineStr">
        <is>
          <t>105000000</t>
        </is>
      </c>
      <c r="G71" s="2" t="inlineStr">
        <is>
          <t>0</t>
        </is>
      </c>
      <c r="H71" s="3" t="n">
        <v>465653</v>
      </c>
      <c r="I71" s="3" t="n">
        <v>0</v>
      </c>
      <c r="J71" s="3" t="n">
        <v>0</v>
      </c>
      <c r="K71" s="3" t="n">
        <v>0</v>
      </c>
      <c r="L71" s="3" t="n">
        <v>465653</v>
      </c>
      <c r="M71" s="3" t="n">
        <v>465653</v>
      </c>
      <c r="N71" s="3" t="n">
        <v>465653</v>
      </c>
      <c r="O71" s="3" t="n">
        <v>0</v>
      </c>
      <c r="P71" s="3" t="n">
        <v>465653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</row>
    <row r="72">
      <c r="A72" s="2" t="inlineStr">
        <is>
          <t>26206.0</t>
        </is>
      </c>
      <c r="B72" s="2" t="inlineStr">
        <is>
          <t>COMPANHIA DO METROPOLITANO DO DISTRITO FEDERAL</t>
        </is>
      </c>
      <c r="C72" s="2" t="inlineStr">
        <is>
          <t>26.453.6216.2756.6137</t>
        </is>
      </c>
      <c r="D72" s="2" t="inlineStr">
        <is>
          <t>MANUTENÇÃO E FUNCIONAMENTO DO SISTEMA FERROVIÁRIO-DF</t>
        </is>
      </c>
      <c r="E72" s="2" t="inlineStr">
        <is>
          <t>339047</t>
        </is>
      </c>
      <c r="F72" s="2" t="inlineStr">
        <is>
          <t>220000000</t>
        </is>
      </c>
      <c r="G72" s="2" t="inlineStr">
        <is>
          <t>0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38957.48</v>
      </c>
      <c r="S72" s="3" t="n">
        <v>0</v>
      </c>
      <c r="T72" s="3" t="n">
        <v>0</v>
      </c>
      <c r="U72" s="3" t="n">
        <v>38957.48</v>
      </c>
      <c r="V72" s="3" t="n">
        <v>38957.48</v>
      </c>
      <c r="W72" s="3" t="n">
        <v>38957.48</v>
      </c>
      <c r="X72" s="3" t="n">
        <v>0</v>
      </c>
      <c r="Y72" s="3" t="n">
        <v>38957.48</v>
      </c>
    </row>
    <row r="73">
      <c r="A73" s="2" t="inlineStr">
        <is>
          <t>23901.0</t>
        </is>
      </c>
      <c r="B73" s="2" t="inlineStr">
        <is>
          <t>FUNDO DE SAÚDE DO DISTRITO FEDERAL</t>
        </is>
      </c>
      <c r="C73" s="2" t="inlineStr">
        <is>
          <t>10.302.6202.4206.0002</t>
        </is>
      </c>
      <c r="D73" s="2" t="inlineStr">
        <is>
          <t>EXECUÇÃO DE CONTRATOS DE GESTÃO-HOSPITAL DA CRIANÇA DE BRASÍLIA JOSÉ ALENCAR - HCB-DISTRITO FEDERAL</t>
        </is>
      </c>
      <c r="E73" s="2" t="inlineStr">
        <is>
          <t>335085</t>
        </is>
      </c>
      <c r="F73" s="2" t="inlineStr">
        <is>
          <t>839000000</t>
        </is>
      </c>
      <c r="G73" s="2" t="inlineStr">
        <is>
          <t>0</t>
        </is>
      </c>
      <c r="H73" s="3" t="n">
        <v>0</v>
      </c>
      <c r="I73" s="3" t="n">
        <v>21476833</v>
      </c>
      <c r="J73" s="3" t="n">
        <v>0</v>
      </c>
      <c r="K73" s="3" t="n">
        <v>0</v>
      </c>
      <c r="L73" s="3" t="n">
        <v>21476833</v>
      </c>
      <c r="M73" s="3" t="n">
        <v>8679128.949999999</v>
      </c>
      <c r="N73" s="3" t="n">
        <v>6117223.38</v>
      </c>
      <c r="O73" s="3" t="n">
        <v>12797704.05</v>
      </c>
      <c r="P73" s="3" t="n">
        <v>21476833</v>
      </c>
      <c r="Q73" s="3" t="n">
        <v>0</v>
      </c>
      <c r="R73" s="3" t="n">
        <v>9135000</v>
      </c>
      <c r="S73" s="3" t="n">
        <v>0</v>
      </c>
      <c r="T73" s="3" t="n">
        <v>0</v>
      </c>
      <c r="U73" s="3" t="n">
        <v>9135000</v>
      </c>
      <c r="V73" s="3" t="n">
        <v>0</v>
      </c>
      <c r="W73" s="3" t="n">
        <v>0</v>
      </c>
      <c r="X73" s="3" t="n">
        <v>9135000</v>
      </c>
      <c r="Y73" s="3" t="n">
        <v>9135000</v>
      </c>
    </row>
    <row r="74">
      <c r="A74" s="2" t="inlineStr">
        <is>
          <t>19101.0</t>
        </is>
      </c>
      <c r="B74" s="2" t="inlineStr">
        <is>
          <t xml:space="preserve">SECRETARIA DE ESTADO DE ECONOMIA  DO DISTRITO FEDERAL                                                                                                 </t>
        </is>
      </c>
      <c r="C74" s="2" t="inlineStr">
        <is>
          <t>04.122.0001.9126.0001</t>
        </is>
      </c>
      <c r="D74" s="2" t="inlineStr">
        <is>
          <t>APORTE  DA CONTRIBUIÇÃO MENSAL DO GOVERNO DO DISTR - DISTRITO FEDERAL</t>
        </is>
      </c>
      <c r="E74" s="2" t="inlineStr">
        <is>
          <t>339192</t>
        </is>
      </c>
      <c r="F74" s="2" t="inlineStr">
        <is>
          <t>100000000</t>
        </is>
      </c>
      <c r="G74" s="2" t="inlineStr">
        <is>
          <t>0</t>
        </is>
      </c>
      <c r="H74" s="3" t="n">
        <v>0</v>
      </c>
      <c r="I74" s="3" t="n">
        <v>119558375</v>
      </c>
      <c r="J74" s="3" t="n">
        <v>0</v>
      </c>
      <c r="K74" s="3" t="n">
        <v>0</v>
      </c>
      <c r="L74" s="3" t="n">
        <v>119558375</v>
      </c>
      <c r="M74" s="3" t="n">
        <v>119558375</v>
      </c>
      <c r="N74" s="3" t="n">
        <v>119558375</v>
      </c>
      <c r="O74" s="3" t="n">
        <v>0</v>
      </c>
      <c r="P74" s="3" t="n">
        <v>119558375</v>
      </c>
      <c r="Q74" s="3" t="n">
        <v>0</v>
      </c>
      <c r="R74" s="3" t="n">
        <v>26676905.38</v>
      </c>
      <c r="S74" s="3" t="n">
        <v>0</v>
      </c>
      <c r="T74" s="3" t="n">
        <v>0</v>
      </c>
      <c r="U74" s="3" t="n">
        <v>26676905.38</v>
      </c>
      <c r="V74" s="3" t="n">
        <v>26676905.38</v>
      </c>
      <c r="W74" s="3" t="n">
        <v>26676905.38</v>
      </c>
      <c r="X74" s="3" t="n">
        <v>0</v>
      </c>
      <c r="Y74" s="3" t="n">
        <v>26676905.38</v>
      </c>
    </row>
    <row r="75">
      <c r="A75" s="2" t="inlineStr">
        <is>
          <t>17906.0</t>
        </is>
      </c>
      <c r="B75" s="2" t="inlineStr">
        <is>
          <t>FUNDO DE COMBATE E ERRADICAÇÃO DA POBREZA</t>
        </is>
      </c>
      <c r="C75" s="2" t="inlineStr">
        <is>
          <t>08.244.6228.4162.0008</t>
        </is>
      </c>
      <c r="D75" s="2" t="inlineStr">
        <is>
          <t>TRANSFERÊNCIA DE RENDA PARA FAMÍLIAS DO DF CADASTRADAS NO CADÚNICO-FUNDO DE COMBATE E ERRADICAÇÃO DA POBREZA-DISTRITO FEDERAL</t>
        </is>
      </c>
      <c r="E75" s="2" t="inlineStr">
        <is>
          <t>339048</t>
        </is>
      </c>
      <c r="F75" s="2" t="inlineStr">
        <is>
          <t>101000000</t>
        </is>
      </c>
      <c r="G75" s="2" t="inlineStr">
        <is>
          <t>0</t>
        </is>
      </c>
      <c r="H75" s="3" t="n">
        <v>0</v>
      </c>
      <c r="I75" s="3" t="n">
        <v>10500000</v>
      </c>
      <c r="J75" s="3" t="n">
        <v>0</v>
      </c>
      <c r="K75" s="3" t="n">
        <v>0</v>
      </c>
      <c r="L75" s="3" t="n">
        <v>10500000</v>
      </c>
      <c r="M75" s="3" t="n">
        <v>10379580</v>
      </c>
      <c r="N75" s="3" t="n">
        <v>10379580</v>
      </c>
      <c r="O75" s="3" t="n">
        <v>120420</v>
      </c>
      <c r="P75" s="3" t="n">
        <v>10500000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</row>
    <row r="76">
      <c r="A76" s="2" t="inlineStr">
        <is>
          <t>22214.0</t>
        </is>
      </c>
      <c r="B76" s="2" t="inlineStr">
        <is>
          <t xml:space="preserve">SERVIÇO DE LIMPEZA URBANA </t>
        </is>
      </c>
      <c r="C76" s="2" t="inlineStr">
        <is>
          <t>15.452.6209.2079.6118</t>
        </is>
      </c>
      <c r="D76" s="2" t="inlineStr">
        <is>
          <t>MANUTENÇÃO DAS ATIVIDADES DE LIMPEZA PÚBLICA--DISTRITO FEDERAL</t>
        </is>
      </c>
      <c r="E76" s="2" t="inlineStr">
        <is>
          <t>339030</t>
        </is>
      </c>
      <c r="F76" s="2" t="inlineStr">
        <is>
          <t>100000000</t>
        </is>
      </c>
      <c r="G76" s="2" t="inlineStr">
        <is>
          <t>0</t>
        </is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1147988.6</v>
      </c>
      <c r="S76" s="3" t="n">
        <v>0</v>
      </c>
      <c r="T76" s="3" t="n">
        <v>0</v>
      </c>
      <c r="U76" s="3" t="n">
        <v>1147988.6</v>
      </c>
      <c r="V76" s="3" t="n">
        <v>162861.48</v>
      </c>
      <c r="W76" s="3" t="n">
        <v>162861.48</v>
      </c>
      <c r="X76" s="3" t="n">
        <v>985127.12</v>
      </c>
      <c r="Y76" s="3" t="n">
        <v>1147988.6</v>
      </c>
    </row>
    <row r="77">
      <c r="A77" s="2" t="inlineStr">
        <is>
          <t>26101.0</t>
        </is>
      </c>
      <c r="B77" s="2" t="inlineStr">
        <is>
          <t>SECRETARIA DE ESTADO DE TRANSPORTE E MOBILIDADE DO DISTRITO FEDERAL</t>
        </is>
      </c>
      <c r="C77" s="2" t="inlineStr">
        <is>
          <t>26.453.6216.4202.0002</t>
        </is>
      </c>
      <c r="D77" s="2" t="inlineStr">
        <is>
          <t>CONCESSÃO DE PASSE LIVRE-PORTADORES DE NECESSIDADES ESPECIAIS PNE-DISTRITO FEDERAL</t>
        </is>
      </c>
      <c r="E77" s="2" t="inlineStr">
        <is>
          <t>339139</t>
        </is>
      </c>
      <c r="F77" s="2" t="inlineStr">
        <is>
          <t>100000000</t>
        </is>
      </c>
      <c r="G77" s="2" t="inlineStr">
        <is>
          <t>0</t>
        </is>
      </c>
      <c r="H77" s="3" t="n">
        <v>0</v>
      </c>
      <c r="I77" s="3" t="n">
        <v>8038804.07</v>
      </c>
      <c r="J77" s="3" t="n">
        <v>0</v>
      </c>
      <c r="K77" s="3" t="n">
        <v>0</v>
      </c>
      <c r="L77" s="3" t="n">
        <v>8038804.07</v>
      </c>
      <c r="M77" s="3" t="n">
        <v>8038804.07</v>
      </c>
      <c r="N77" s="3" t="n">
        <v>7454524</v>
      </c>
      <c r="O77" s="3" t="n">
        <v>0</v>
      </c>
      <c r="P77" s="3" t="n">
        <v>8038804.07</v>
      </c>
      <c r="Q77" s="3" t="n">
        <v>0</v>
      </c>
      <c r="R77" s="3" t="n">
        <v>7151980</v>
      </c>
      <c r="S77" s="3" t="n">
        <v>0</v>
      </c>
      <c r="T77" s="3" t="n">
        <v>0</v>
      </c>
      <c r="U77" s="3" t="n">
        <v>7151980</v>
      </c>
      <c r="V77" s="3" t="n">
        <v>7151980</v>
      </c>
      <c r="W77" s="3" t="n">
        <v>6349436.5</v>
      </c>
      <c r="X77" s="3" t="n">
        <v>0</v>
      </c>
      <c r="Y77" s="3" t="n">
        <v>7151980</v>
      </c>
    </row>
    <row r="78">
      <c r="A78" s="2" t="inlineStr">
        <is>
          <t>64101.0</t>
        </is>
      </c>
      <c r="B78" s="2" t="inlineStr">
        <is>
          <t xml:space="preserve">SECRETARIA DE ESTADO ADMINISTRAÇÃO PENITENCIÁRIA DO DISTRITO FEDERAL </t>
        </is>
      </c>
      <c r="C78" s="2" t="inlineStr">
        <is>
          <t>06.421.6217.2727.0006</t>
        </is>
      </c>
      <c r="D78" s="2" t="inlineStr">
        <is>
          <t>MANUTENÇÃO DO SISTEMA PENITENCIÁRIO DO DF- MANUTENÇÃO DO SISTEMA PENITENCIÁRIO DO DF-DISTRITO FEDERAL</t>
        </is>
      </c>
      <c r="E78" s="2" t="inlineStr">
        <is>
          <t>339039</t>
        </is>
      </c>
      <c r="F78" s="2" t="inlineStr">
        <is>
          <t>100000000</t>
        </is>
      </c>
      <c r="G78" s="2" t="inlineStr">
        <is>
          <t>0</t>
        </is>
      </c>
      <c r="H78" s="3" t="n">
        <v>22543116</v>
      </c>
      <c r="I78" s="3" t="n">
        <v>21642705.3</v>
      </c>
      <c r="J78" s="3" t="n">
        <v>0</v>
      </c>
      <c r="K78" s="3" t="n">
        <v>0</v>
      </c>
      <c r="L78" s="3" t="n">
        <v>44185821.3</v>
      </c>
      <c r="M78" s="3" t="n">
        <v>43978079.84</v>
      </c>
      <c r="N78" s="3" t="n">
        <v>43584167.87</v>
      </c>
      <c r="O78" s="3" t="n">
        <v>207741.46</v>
      </c>
      <c r="P78" s="3" t="n">
        <v>44185821.3</v>
      </c>
      <c r="Q78" s="3" t="n">
        <v>41200000</v>
      </c>
      <c r="R78" s="3" t="n">
        <v>1956992.22</v>
      </c>
      <c r="S78" s="3" t="n">
        <v>0</v>
      </c>
      <c r="T78" s="3" t="n">
        <v>0.96</v>
      </c>
      <c r="U78" s="3" t="n">
        <v>43156991.26</v>
      </c>
      <c r="V78" s="3" t="n">
        <v>43152332.51</v>
      </c>
      <c r="W78" s="3" t="n">
        <v>41021260.12</v>
      </c>
      <c r="X78" s="3" t="n">
        <v>4658.75</v>
      </c>
      <c r="Y78" s="3" t="n">
        <v>43156992.22</v>
      </c>
    </row>
    <row r="79">
      <c r="A79" s="2" t="inlineStr">
        <is>
          <t>17902.0</t>
        </is>
      </c>
      <c r="B79" s="2" t="inlineStr">
        <is>
          <t>FUNDO DE ASSISTÊNCIA SOCIAL DO DISTRITO FEDERAL</t>
        </is>
      </c>
      <c r="C79" s="2" t="inlineStr">
        <is>
          <t>08.245.6228.9073.0003</t>
        </is>
      </c>
      <c r="D79" s="2" t="inlineStr">
        <is>
          <t>TRANSFERÊNCIA PARA BLOCO DA PROTEÇÃO SOCIAL ESPECI - TRANSFERÊNCIA DEMAIS INDIVÍDUOS E FAMÍLIA - DISTRITO FEDERAL</t>
        </is>
      </c>
      <c r="E79" s="2" t="inlineStr">
        <is>
          <t>449052</t>
        </is>
      </c>
      <c r="F79" s="2" t="inlineStr">
        <is>
          <t>100000000</t>
        </is>
      </c>
      <c r="G79" s="2" t="inlineStr">
        <is>
          <t>0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10000</v>
      </c>
      <c r="R79" s="3" t="n">
        <v>0</v>
      </c>
      <c r="S79" s="3" t="n">
        <v>3700</v>
      </c>
      <c r="T79" s="3" t="n">
        <v>3107</v>
      </c>
      <c r="U79" s="3" t="n">
        <v>3193</v>
      </c>
      <c r="V79" s="3" t="n">
        <v>0</v>
      </c>
      <c r="W79" s="3" t="n">
        <v>0</v>
      </c>
      <c r="X79" s="3" t="n">
        <v>3193</v>
      </c>
      <c r="Y79" s="3" t="n">
        <v>10000</v>
      </c>
    </row>
    <row r="80">
      <c r="A80" s="2" t="inlineStr">
        <is>
          <t>23901.0</t>
        </is>
      </c>
      <c r="B80" s="2" t="inlineStr">
        <is>
          <t>FUNDO DE SAÚDE DO DISTRITO FEDERAL</t>
        </is>
      </c>
      <c r="C80" s="2" t="inlineStr">
        <is>
          <t>10.302.6202.4206.0002</t>
        </is>
      </c>
      <c r="D80" s="2" t="inlineStr">
        <is>
          <t>EXECUÇÃO DE CONTRATOS DE GESTÃO-HOSPITAL DA CRIANÇA DE BRASÍLIA JOSÉ ALENCAR - HCB-DISTRITO FEDERAL</t>
        </is>
      </c>
      <c r="E80" s="2" t="inlineStr">
        <is>
          <t>445085</t>
        </is>
      </c>
      <c r="F80" s="2" t="inlineStr">
        <is>
          <t>838000000</t>
        </is>
      </c>
      <c r="G80" s="2" t="inlineStr">
        <is>
          <t>0</t>
        </is>
      </c>
      <c r="H80" s="3" t="n">
        <v>0</v>
      </c>
      <c r="I80" s="3" t="n">
        <v>4578105</v>
      </c>
      <c r="J80" s="3" t="n">
        <v>0</v>
      </c>
      <c r="K80" s="3" t="n">
        <v>0</v>
      </c>
      <c r="L80" s="3" t="n">
        <v>4578105</v>
      </c>
      <c r="M80" s="3" t="n">
        <v>699378</v>
      </c>
      <c r="N80" s="3" t="n">
        <v>611417</v>
      </c>
      <c r="O80" s="3" t="n">
        <v>3878727</v>
      </c>
      <c r="P80" s="3" t="n">
        <v>4578105</v>
      </c>
      <c r="Q80" s="3" t="n">
        <v>0</v>
      </c>
      <c r="R80" s="3" t="n">
        <v>3431160</v>
      </c>
      <c r="S80" s="3" t="n">
        <v>0</v>
      </c>
      <c r="T80" s="3" t="n">
        <v>0</v>
      </c>
      <c r="U80" s="3" t="n">
        <v>3431160</v>
      </c>
      <c r="V80" s="3" t="n">
        <v>1706721</v>
      </c>
      <c r="W80" s="3" t="n">
        <v>0</v>
      </c>
      <c r="X80" s="3" t="n">
        <v>1724439</v>
      </c>
      <c r="Y80" s="3" t="n">
        <v>3431160</v>
      </c>
    </row>
    <row r="81">
      <c r="A81" s="2" t="inlineStr">
        <is>
          <t>26206.0</t>
        </is>
      </c>
      <c r="B81" s="2" t="inlineStr">
        <is>
          <t>COMPANHIA DO METROPOLITANO DO DISTRITO FEDERAL</t>
        </is>
      </c>
      <c r="C81" s="2" t="inlineStr">
        <is>
          <t>26.453.6216.2756.6137</t>
        </is>
      </c>
      <c r="D81" s="2" t="inlineStr">
        <is>
          <t>MANUTENÇÃO E FUNCIONAMENTO DO SISTEMA FERROVIÁRIO-DF</t>
        </is>
      </c>
      <c r="E81" s="2" t="inlineStr">
        <is>
          <t>339039</t>
        </is>
      </c>
      <c r="F81" s="2" t="inlineStr">
        <is>
          <t>220000000</t>
        </is>
      </c>
      <c r="G81" s="2" t="inlineStr">
        <is>
          <t>0</t>
        </is>
      </c>
      <c r="H81" s="3" t="n">
        <v>5010995</v>
      </c>
      <c r="I81" s="3" t="n">
        <v>18620931.85</v>
      </c>
      <c r="J81" s="3" t="n">
        <v>0</v>
      </c>
      <c r="K81" s="3" t="n">
        <v>0</v>
      </c>
      <c r="L81" s="3" t="n">
        <v>23631926.85</v>
      </c>
      <c r="M81" s="3" t="n">
        <v>23631926.85</v>
      </c>
      <c r="N81" s="3" t="n">
        <v>21927688.07</v>
      </c>
      <c r="O81" s="3" t="n">
        <v>0</v>
      </c>
      <c r="P81" s="3" t="n">
        <v>23631926.85</v>
      </c>
      <c r="Q81" s="3" t="n">
        <v>23292868</v>
      </c>
      <c r="R81" s="3" t="n">
        <v>-9832507.560000001</v>
      </c>
      <c r="S81" s="3" t="n">
        <v>0</v>
      </c>
      <c r="T81" s="3" t="n">
        <v>0</v>
      </c>
      <c r="U81" s="3" t="n">
        <v>13460360.44</v>
      </c>
      <c r="V81" s="3" t="n">
        <v>13459200.44</v>
      </c>
      <c r="W81" s="3" t="n">
        <v>13406244.35</v>
      </c>
      <c r="X81" s="3" t="n">
        <v>1160</v>
      </c>
      <c r="Y81" s="3" t="n">
        <v>13460360.44</v>
      </c>
    </row>
    <row r="82">
      <c r="A82" s="2" t="inlineStr">
        <is>
          <t>26206.0</t>
        </is>
      </c>
      <c r="B82" s="2" t="inlineStr">
        <is>
          <t>COMPANHIA DO METROPOLITANO DO DISTRITO FEDERAL</t>
        </is>
      </c>
      <c r="C82" s="2" t="inlineStr">
        <is>
          <t>26.453.6216.2756.6137</t>
        </is>
      </c>
      <c r="D82" s="2" t="inlineStr">
        <is>
          <t>MANUTENÇÃO E FUNCIONAMENTO DO SISTEMA FERROVIÁRIO-DF</t>
        </is>
      </c>
      <c r="E82" s="2" t="inlineStr">
        <is>
          <t>339037</t>
        </is>
      </c>
      <c r="F82" s="2" t="inlineStr">
        <is>
          <t>220000000</t>
        </is>
      </c>
      <c r="G82" s="2" t="inlineStr">
        <is>
          <t>0</t>
        </is>
      </c>
      <c r="H82" s="3" t="n">
        <v>32066970</v>
      </c>
      <c r="I82" s="3" t="n">
        <v>-24214621.31</v>
      </c>
      <c r="J82" s="3" t="n">
        <v>0</v>
      </c>
      <c r="K82" s="3" t="n">
        <v>0</v>
      </c>
      <c r="L82" s="3" t="n">
        <v>7852348.69</v>
      </c>
      <c r="M82" s="3" t="n">
        <v>7852348.69</v>
      </c>
      <c r="N82" s="3" t="n">
        <v>7852348.69</v>
      </c>
      <c r="O82" s="3" t="n">
        <v>0</v>
      </c>
      <c r="P82" s="3" t="n">
        <v>7852348.69</v>
      </c>
      <c r="Q82" s="3" t="n">
        <v>0</v>
      </c>
      <c r="R82" s="3" t="n">
        <v>5323907.06</v>
      </c>
      <c r="S82" s="3" t="n">
        <v>0</v>
      </c>
      <c r="T82" s="3" t="n">
        <v>0</v>
      </c>
      <c r="U82" s="3" t="n">
        <v>5323907.06</v>
      </c>
      <c r="V82" s="3" t="n">
        <v>5323907.06</v>
      </c>
      <c r="W82" s="3" t="n">
        <v>5323907.06</v>
      </c>
      <c r="X82" s="3" t="n">
        <v>0</v>
      </c>
      <c r="Y82" s="3" t="n">
        <v>5323907.06</v>
      </c>
    </row>
    <row r="83">
      <c r="A83" s="2" t="inlineStr">
        <is>
          <t>18101.0</t>
        </is>
      </c>
      <c r="B83" s="2" t="inlineStr">
        <is>
          <t>SECRETARIA DE ESTADO DE  EDUCAÇÃO DO DISTRITO FEDERAL</t>
        </is>
      </c>
      <c r="C83" s="2" t="inlineStr">
        <is>
          <t>12.361.6221.4202.0004</t>
        </is>
      </c>
      <c r="D83" s="2" t="inlineStr">
        <is>
          <t>(OCA)CONCESSÃO DE PASSE LIVRE - ENSINO FUNDAMENTAL - REDE PÚBLICA - DISTRITO FEDERAL</t>
        </is>
      </c>
      <c r="E83" s="2" t="inlineStr">
        <is>
          <t>339139</t>
        </is>
      </c>
      <c r="F83" s="2" t="inlineStr">
        <is>
          <t>100000000</t>
        </is>
      </c>
      <c r="G83" s="2" t="inlineStr">
        <is>
          <t>0</t>
        </is>
      </c>
      <c r="H83" s="3" t="n">
        <v>9430915</v>
      </c>
      <c r="I83" s="3" t="n">
        <v>3043278</v>
      </c>
      <c r="J83" s="3" t="n">
        <v>0</v>
      </c>
      <c r="K83" s="3" t="n">
        <v>0</v>
      </c>
      <c r="L83" s="3" t="n">
        <v>12474193</v>
      </c>
      <c r="M83" s="3" t="n">
        <v>9219354.050000001</v>
      </c>
      <c r="N83" s="3" t="n">
        <v>8417288</v>
      </c>
      <c r="O83" s="3" t="n">
        <v>3254838.95</v>
      </c>
      <c r="P83" s="3" t="n">
        <v>12474193</v>
      </c>
      <c r="Q83" s="3" t="n">
        <v>0</v>
      </c>
      <c r="R83" s="3" t="n">
        <v>9259017</v>
      </c>
      <c r="S83" s="3" t="n">
        <v>0</v>
      </c>
      <c r="T83" s="3" t="n">
        <v>0</v>
      </c>
      <c r="U83" s="3" t="n">
        <v>9259017</v>
      </c>
      <c r="V83" s="3" t="n">
        <v>4351990.54</v>
      </c>
      <c r="W83" s="3" t="n">
        <v>4351990.5</v>
      </c>
      <c r="X83" s="3" t="n">
        <v>4907026.46</v>
      </c>
      <c r="Y83" s="3" t="n">
        <v>9259017</v>
      </c>
    </row>
    <row r="84">
      <c r="A84" s="2" t="inlineStr">
        <is>
          <t>26205.0</t>
        </is>
      </c>
      <c r="B84" s="2" t="inlineStr">
        <is>
          <t>DEPARTAMENTO DE ESTRADAS DE RODAGEM</t>
        </is>
      </c>
      <c r="C84" s="2" t="inlineStr">
        <is>
          <t>26.782.6216.4195.0001</t>
        </is>
      </c>
      <c r="D84" s="2" t="inlineStr">
        <is>
          <t>CONSERVAÇÃO DE  RODOVIAS-PREVENTIVA E CORRETIVA-DER-DF-DISTRITO FEDERAL</t>
        </is>
      </c>
      <c r="E84" s="2" t="inlineStr">
        <is>
          <t>339037</t>
        </is>
      </c>
      <c r="F84" s="2" t="inlineStr">
        <is>
          <t>220000000</t>
        </is>
      </c>
      <c r="G84" s="2" t="inlineStr">
        <is>
          <t>0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100000</v>
      </c>
      <c r="S84" s="3" t="n">
        <v>0</v>
      </c>
      <c r="T84" s="3" t="n">
        <v>0</v>
      </c>
      <c r="U84" s="3" t="n">
        <v>100000</v>
      </c>
      <c r="V84" s="3" t="n">
        <v>100000</v>
      </c>
      <c r="W84" s="3" t="n">
        <v>0</v>
      </c>
      <c r="X84" s="3" t="n">
        <v>0</v>
      </c>
      <c r="Y84" s="3" t="n">
        <v>100000</v>
      </c>
    </row>
    <row r="85">
      <c r="A85" s="2" t="inlineStr">
        <is>
          <t>19101.0</t>
        </is>
      </c>
      <c r="B85" s="2" t="inlineStr">
        <is>
          <t xml:space="preserve">SECRETARIA DE ESTADO DE ECONOMIA  DO DISTRITO FEDERAL                                                                                                 </t>
        </is>
      </c>
      <c r="C85" s="2" t="inlineStr">
        <is>
          <t>04.122.8203.2990.0008</t>
        </is>
      </c>
      <c r="D85" s="2" t="inlineStr">
        <is>
          <t>MANUTENÇÃO DE BENS IMÓVEIS DO GDF-LIMPEZA-DISTRITO FEDERAL</t>
        </is>
      </c>
      <c r="E85" s="2" t="inlineStr">
        <is>
          <t>339039</t>
        </is>
      </c>
      <c r="F85" s="2" t="inlineStr">
        <is>
          <t>101000000</t>
        </is>
      </c>
      <c r="G85" s="2" t="inlineStr">
        <is>
          <t>0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61531184</v>
      </c>
      <c r="R85" s="3" t="n">
        <v>0</v>
      </c>
      <c r="S85" s="3" t="n">
        <v>26810132.18</v>
      </c>
      <c r="T85" s="3" t="n">
        <v>0</v>
      </c>
      <c r="U85" s="3" t="n">
        <v>34721051.82</v>
      </c>
      <c r="V85" s="3" t="n">
        <v>34721051.82</v>
      </c>
      <c r="W85" s="3" t="n">
        <v>34480379.59</v>
      </c>
      <c r="X85" s="3" t="n">
        <v>0</v>
      </c>
      <c r="Y85" s="3" t="n">
        <v>61531184</v>
      </c>
    </row>
    <row r="86">
      <c r="A86" s="2" t="inlineStr">
        <is>
          <t>26205.0</t>
        </is>
      </c>
      <c r="B86" s="2" t="inlineStr">
        <is>
          <t>DEPARTAMENTO DE ESTRADAS DE RODAGEM</t>
        </is>
      </c>
      <c r="C86" s="2" t="inlineStr">
        <is>
          <t>26.782.6216.4195.0001</t>
        </is>
      </c>
      <c r="D86" s="2" t="inlineStr">
        <is>
          <t>CONSERVAÇÃO DE  RODOVIAS-PREVENTIVA E CORRETIVA-DER-DF-DISTRITO FEDERAL</t>
        </is>
      </c>
      <c r="E86" s="2" t="inlineStr">
        <is>
          <t>339039</t>
        </is>
      </c>
      <c r="F86" s="2" t="inlineStr">
        <is>
          <t>448000000</t>
        </is>
      </c>
      <c r="G86" s="2" t="inlineStr">
        <is>
          <t>0</t>
        </is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655814</v>
      </c>
      <c r="S86" s="3" t="n">
        <v>0</v>
      </c>
      <c r="T86" s="3" t="n">
        <v>0</v>
      </c>
      <c r="U86" s="3" t="n">
        <v>655814</v>
      </c>
      <c r="V86" s="3" t="n">
        <v>655814</v>
      </c>
      <c r="W86" s="3" t="n">
        <v>655814</v>
      </c>
      <c r="X86" s="3" t="n">
        <v>0</v>
      </c>
      <c r="Y86" s="3" t="n">
        <v>655814</v>
      </c>
    </row>
    <row r="87">
      <c r="A87" s="2" t="inlineStr">
        <is>
          <t>26205.0</t>
        </is>
      </c>
      <c r="B87" s="2" t="inlineStr">
        <is>
          <t>DEPARTAMENTO DE ESTRADAS DE RODAGEM</t>
        </is>
      </c>
      <c r="C87" s="2" t="inlineStr">
        <is>
          <t>26.782.6216.2885.0001</t>
        </is>
      </c>
      <c r="D87" s="2" t="inlineStr">
        <is>
          <t>MANUTENÇÃO DE MÁQUINAS E EQUIPAMENTOS-LEVES E PESADOS - DER-DF-DISTRITO FEDERAL</t>
        </is>
      </c>
      <c r="E87" s="2" t="inlineStr">
        <is>
          <t>339030</t>
        </is>
      </c>
      <c r="F87" s="2" t="inlineStr">
        <is>
          <t>183000000</t>
        </is>
      </c>
      <c r="G87" s="2" t="inlineStr">
        <is>
          <t>0</t>
        </is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600000</v>
      </c>
      <c r="R87" s="3" t="n">
        <v>0</v>
      </c>
      <c r="S87" s="3" t="n">
        <v>222000</v>
      </c>
      <c r="T87" s="3" t="n">
        <v>269210.5</v>
      </c>
      <c r="U87" s="3" t="n">
        <v>108789.5</v>
      </c>
      <c r="V87" s="3" t="n">
        <v>108542</v>
      </c>
      <c r="W87" s="3" t="n">
        <v>94661</v>
      </c>
      <c r="X87" s="3" t="n">
        <v>247.5</v>
      </c>
      <c r="Y87" s="3" t="n">
        <v>600000</v>
      </c>
    </row>
    <row r="88">
      <c r="A88" s="2" t="inlineStr">
        <is>
          <t>26205.0</t>
        </is>
      </c>
      <c r="B88" s="2" t="inlineStr">
        <is>
          <t>DEPARTAMENTO DE ESTRADAS DE RODAGEM</t>
        </is>
      </c>
      <c r="C88" s="2" t="inlineStr">
        <is>
          <t>26.782.6216.4195.0001</t>
        </is>
      </c>
      <c r="D88" s="2" t="inlineStr">
        <is>
          <t>CONSERVAÇÃO DE  RODOVIAS-PREVENTIVA E CORRETIVA-DER-DF-DISTRITO FEDERAL</t>
        </is>
      </c>
      <c r="E88" s="2" t="inlineStr">
        <is>
          <t>339030</t>
        </is>
      </c>
      <c r="F88" s="2" t="inlineStr">
        <is>
          <t>100000000</t>
        </is>
      </c>
      <c r="G88" s="2" t="inlineStr">
        <is>
          <t>0</t>
        </is>
      </c>
      <c r="H88" s="3" t="n">
        <v>751944</v>
      </c>
      <c r="I88" s="3" t="n">
        <v>25997032.23</v>
      </c>
      <c r="J88" s="3" t="n">
        <v>0.83</v>
      </c>
      <c r="K88" s="3" t="n">
        <v>0</v>
      </c>
      <c r="L88" s="3" t="n">
        <v>26748975.4</v>
      </c>
      <c r="M88" s="3" t="n">
        <v>26476414.41</v>
      </c>
      <c r="N88" s="3" t="n">
        <v>26476414.41</v>
      </c>
      <c r="O88" s="3" t="n">
        <v>272560.99</v>
      </c>
      <c r="P88" s="3" t="n">
        <v>26748976.23</v>
      </c>
      <c r="Q88" s="3" t="n">
        <v>0</v>
      </c>
      <c r="R88" s="3" t="n">
        <v>13234796.48</v>
      </c>
      <c r="S88" s="3" t="n">
        <v>0</v>
      </c>
      <c r="T88" s="3" t="n">
        <v>0</v>
      </c>
      <c r="U88" s="3" t="n">
        <v>13234796.48</v>
      </c>
      <c r="V88" s="3" t="n">
        <v>13226907.26</v>
      </c>
      <c r="W88" s="3" t="n">
        <v>9800349.6</v>
      </c>
      <c r="X88" s="3" t="n">
        <v>7889.22</v>
      </c>
      <c r="Y88" s="3" t="n">
        <v>13234796.48</v>
      </c>
    </row>
    <row r="89">
      <c r="A89" s="2" t="inlineStr">
        <is>
          <t>26205.0</t>
        </is>
      </c>
      <c r="B89" s="2" t="inlineStr">
        <is>
          <t>DEPARTAMENTO DE ESTRADAS DE RODAGEM</t>
        </is>
      </c>
      <c r="C89" s="2" t="inlineStr">
        <is>
          <t>26.782.6216.2885.0001</t>
        </is>
      </c>
      <c r="D89" s="2" t="inlineStr">
        <is>
          <t>MANUTENÇÃO DE MÁQUINAS E EQUIPAMENTOS-LEVES E PESADOS - DER-DF-DISTRITO FEDERAL</t>
        </is>
      </c>
      <c r="E89" s="2" t="inlineStr">
        <is>
          <t>339039</t>
        </is>
      </c>
      <c r="F89" s="2" t="inlineStr">
        <is>
          <t>237000000</t>
        </is>
      </c>
      <c r="G89" s="2" t="inlineStr">
        <is>
          <t>0</t>
        </is>
      </c>
      <c r="H89" s="3" t="n">
        <v>1500000</v>
      </c>
      <c r="I89" s="3" t="n">
        <v>-750000</v>
      </c>
      <c r="J89" s="3" t="n">
        <v>0</v>
      </c>
      <c r="K89" s="3" t="n">
        <v>0</v>
      </c>
      <c r="L89" s="3" t="n">
        <v>170000</v>
      </c>
      <c r="M89" s="3" t="n">
        <v>164049.16</v>
      </c>
      <c r="N89" s="3" t="n">
        <v>164049.16</v>
      </c>
      <c r="O89" s="3" t="n">
        <v>5950.84</v>
      </c>
      <c r="P89" s="3" t="n">
        <v>750000</v>
      </c>
      <c r="Q89" s="3" t="n">
        <v>600000</v>
      </c>
      <c r="R89" s="3" t="n">
        <v>338806.38</v>
      </c>
      <c r="S89" s="3" t="n">
        <v>0</v>
      </c>
      <c r="T89" s="3" t="n">
        <v>0</v>
      </c>
      <c r="U89" s="3" t="n">
        <v>938806.38</v>
      </c>
      <c r="V89" s="3" t="n">
        <v>938806.38</v>
      </c>
      <c r="W89" s="3" t="n">
        <v>534074.92</v>
      </c>
      <c r="X89" s="3" t="n">
        <v>0</v>
      </c>
      <c r="Y89" s="3" t="n">
        <v>938806.38</v>
      </c>
    </row>
    <row r="90">
      <c r="A90" s="2" t="inlineStr">
        <is>
          <t>22214.0</t>
        </is>
      </c>
      <c r="B90" s="2" t="inlineStr">
        <is>
          <t xml:space="preserve">SERVIÇO DE LIMPEZA URBANA </t>
        </is>
      </c>
      <c r="C90" s="2" t="inlineStr">
        <is>
          <t>15.452.6209.2079.6118</t>
        </is>
      </c>
      <c r="D90" s="2" t="inlineStr">
        <is>
          <t>MANUTENÇÃO DAS ATIVIDADES DE LIMPEZA PÚBLICA--DISTRITO FEDERAL</t>
        </is>
      </c>
      <c r="E90" s="2" t="inlineStr">
        <is>
          <t>339092</t>
        </is>
      </c>
      <c r="F90" s="2" t="inlineStr">
        <is>
          <t>114000000</t>
        </is>
      </c>
      <c r="G90" s="2" t="inlineStr">
        <is>
          <t>0</t>
        </is>
      </c>
      <c r="H90" s="3" t="n">
        <v>0</v>
      </c>
      <c r="I90" s="3" t="n">
        <v>15698960</v>
      </c>
      <c r="J90" s="3" t="n">
        <v>0</v>
      </c>
      <c r="K90" s="3" t="n">
        <v>0</v>
      </c>
      <c r="L90" s="3" t="n">
        <v>15698960</v>
      </c>
      <c r="M90" s="3" t="n">
        <v>15698960</v>
      </c>
      <c r="N90" s="3" t="n">
        <v>15698960</v>
      </c>
      <c r="O90" s="3" t="n">
        <v>0</v>
      </c>
      <c r="P90" s="3" t="n">
        <v>15698960</v>
      </c>
      <c r="Q90" s="3" t="n">
        <v>0</v>
      </c>
      <c r="R90" s="3" t="n">
        <v>18000000</v>
      </c>
      <c r="S90" s="3" t="n">
        <v>0</v>
      </c>
      <c r="T90" s="3" t="n">
        <v>18657.48</v>
      </c>
      <c r="U90" s="3" t="n">
        <v>17981342.52</v>
      </c>
      <c r="V90" s="3" t="n">
        <v>17981342.52</v>
      </c>
      <c r="W90" s="3" t="n">
        <v>17981342.51</v>
      </c>
      <c r="X90" s="3" t="n">
        <v>0</v>
      </c>
      <c r="Y90" s="3" t="n">
        <v>18000000</v>
      </c>
    </row>
    <row r="91">
      <c r="A91" s="2" t="inlineStr">
        <is>
          <t>17902.0</t>
        </is>
      </c>
      <c r="B91" s="2" t="inlineStr">
        <is>
          <t>FUNDO DE ASSISTÊNCIA SOCIAL DO DISTRITO FEDERAL</t>
        </is>
      </c>
      <c r="C91" s="2" t="inlineStr">
        <is>
          <t>08.245.6228.9073.0003</t>
        </is>
      </c>
      <c r="D91" s="2" t="inlineStr">
        <is>
          <t>TRANSFERÊNCIA PARA BLOCO DA PROTEÇÃO SOCIAL ESPECI - TRANSFERÊNCIA DEMAIS INDIVÍDUOS E FAMÍLIA - DISTRITO FEDERAL</t>
        </is>
      </c>
      <c r="E91" s="2" t="inlineStr">
        <is>
          <t>335043</t>
        </is>
      </c>
      <c r="F91" s="2" t="inlineStr">
        <is>
          <t>158000000</t>
        </is>
      </c>
      <c r="G91" s="2" t="inlineStr">
        <is>
          <t>0</t>
        </is>
      </c>
      <c r="H91" s="3" t="n">
        <v>6300000</v>
      </c>
      <c r="I91" s="3" t="n">
        <v>-2661000</v>
      </c>
      <c r="J91" s="3" t="n">
        <v>0</v>
      </c>
      <c r="K91" s="3" t="n">
        <v>0</v>
      </c>
      <c r="L91" s="3" t="n">
        <v>3639000</v>
      </c>
      <c r="M91" s="3" t="n">
        <v>3442401.67</v>
      </c>
      <c r="N91" s="3" t="n">
        <v>3253354.45</v>
      </c>
      <c r="O91" s="3" t="n">
        <v>196598.33</v>
      </c>
      <c r="P91" s="3" t="n">
        <v>3639000</v>
      </c>
      <c r="Q91" s="3" t="n">
        <v>9000000</v>
      </c>
      <c r="R91" s="3" t="n">
        <v>0</v>
      </c>
      <c r="S91" s="3" t="n">
        <v>0</v>
      </c>
      <c r="T91" s="3" t="n">
        <v>0</v>
      </c>
      <c r="U91" s="3" t="n">
        <v>9000000</v>
      </c>
      <c r="V91" s="3" t="n">
        <v>412266.61</v>
      </c>
      <c r="W91" s="3" t="n">
        <v>412266.61</v>
      </c>
      <c r="X91" s="3" t="n">
        <v>8587733.390000001</v>
      </c>
      <c r="Y91" s="3" t="n">
        <v>9000000</v>
      </c>
    </row>
    <row r="92">
      <c r="A92" s="2" t="inlineStr">
        <is>
          <t>22214.0</t>
        </is>
      </c>
      <c r="B92" s="2" t="inlineStr">
        <is>
          <t xml:space="preserve">SERVIÇO DE LIMPEZA URBANA </t>
        </is>
      </c>
      <c r="C92" s="2" t="inlineStr">
        <is>
          <t>15.452.6209.2079.6118</t>
        </is>
      </c>
      <c r="D92" s="2" t="inlineStr">
        <is>
          <t>MANUTENÇÃO DAS ATIVIDADES DE LIMPEZA PÚBLICA--DISTRITO FEDERAL</t>
        </is>
      </c>
      <c r="E92" s="2" t="inlineStr">
        <is>
          <t>449052</t>
        </is>
      </c>
      <c r="F92" s="2" t="inlineStr">
        <is>
          <t>220000000</t>
        </is>
      </c>
      <c r="G92" s="2" t="inlineStr">
        <is>
          <t>0</t>
        </is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5915928</v>
      </c>
      <c r="R92" s="3" t="n">
        <v>-820000</v>
      </c>
      <c r="S92" s="3" t="n">
        <v>0</v>
      </c>
      <c r="T92" s="3" t="n">
        <v>0</v>
      </c>
      <c r="U92" s="3" t="n">
        <v>4695928</v>
      </c>
      <c r="V92" s="3" t="n">
        <v>115595.49</v>
      </c>
      <c r="W92" s="3" t="n">
        <v>8095.49</v>
      </c>
      <c r="X92" s="3" t="n">
        <v>4580332.51</v>
      </c>
      <c r="Y92" s="3" t="n">
        <v>5095928</v>
      </c>
    </row>
    <row r="93">
      <c r="A93" s="2" t="inlineStr">
        <is>
          <t>26101.0</t>
        </is>
      </c>
      <c r="B93" s="2" t="inlineStr">
        <is>
          <t>SECRETARIA DE ESTADO DE TRANSPORTE E MOBILIDADE DO DISTRITO FEDERAL</t>
        </is>
      </c>
      <c r="C93" s="2" t="inlineStr">
        <is>
          <t>26.453.6216.2455.0002</t>
        </is>
      </c>
      <c r="D93" s="2" t="inlineStr">
        <is>
          <t>MANUTENÇÃO DO EQUILÍBRIO FINANCEIRO DO SISTEMA DE TRANSPORTE PÚBLICO COLETIVO - STPC--DISTRITO FEDERAL</t>
        </is>
      </c>
      <c r="E93" s="2" t="inlineStr">
        <is>
          <t>449039</t>
        </is>
      </c>
      <c r="F93" s="2" t="inlineStr">
        <is>
          <t>100000000</t>
        </is>
      </c>
      <c r="G93" s="2" t="inlineStr">
        <is>
          <t>0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122924750</v>
      </c>
      <c r="S93" s="3" t="n">
        <v>0</v>
      </c>
      <c r="T93" s="3" t="n">
        <v>0</v>
      </c>
      <c r="U93" s="3" t="n">
        <v>122924750</v>
      </c>
      <c r="V93" s="3" t="n">
        <v>121257855.77</v>
      </c>
      <c r="W93" s="3" t="n">
        <v>121257855.77</v>
      </c>
      <c r="X93" s="3" t="n">
        <v>1666894.23</v>
      </c>
      <c r="Y93" s="3" t="n">
        <v>122924750</v>
      </c>
    </row>
    <row r="94">
      <c r="A94" s="2" t="inlineStr">
        <is>
          <t>18101.0</t>
        </is>
      </c>
      <c r="B94" s="2" t="inlineStr">
        <is>
          <t>SECRETARIA DE ESTADO DE  EDUCAÇÃO DO DISTRITO FEDERAL</t>
        </is>
      </c>
      <c r="C94" s="2" t="inlineStr">
        <is>
          <t>12.361.6221.4202.0004</t>
        </is>
      </c>
      <c r="D94" s="2" t="inlineStr">
        <is>
          <t>(OCA)CONCESSÃO DE PASSE LIVRE - ENSINO FUNDAMENTAL - REDE PÚBLICA - DISTRITO FEDERAL</t>
        </is>
      </c>
      <c r="E94" s="2" t="inlineStr">
        <is>
          <t>339092</t>
        </is>
      </c>
      <c r="F94" s="2" t="inlineStr">
        <is>
          <t>100000000</t>
        </is>
      </c>
      <c r="G94" s="2" t="inlineStr">
        <is>
          <t>0</t>
        </is>
      </c>
      <c r="H94" s="3" t="n">
        <v>0</v>
      </c>
      <c r="I94" s="3" t="n">
        <v>230673648</v>
      </c>
      <c r="J94" s="3" t="n">
        <v>0</v>
      </c>
      <c r="K94" s="3" t="n">
        <v>0</v>
      </c>
      <c r="L94" s="3" t="n">
        <v>230673648</v>
      </c>
      <c r="M94" s="3" t="n">
        <v>230673598.94</v>
      </c>
      <c r="N94" s="3" t="n">
        <v>230673598.94</v>
      </c>
      <c r="O94" s="3" t="n">
        <v>49.06</v>
      </c>
      <c r="P94" s="3" t="n">
        <v>230673648</v>
      </c>
      <c r="Q94" s="3" t="n">
        <v>0</v>
      </c>
      <c r="R94" s="3" t="n">
        <v>8929748</v>
      </c>
      <c r="S94" s="3" t="n">
        <v>0</v>
      </c>
      <c r="T94" s="3" t="n">
        <v>0</v>
      </c>
      <c r="U94" s="3" t="n">
        <v>8929748</v>
      </c>
      <c r="V94" s="3" t="n">
        <v>8929747.470000001</v>
      </c>
      <c r="W94" s="3" t="n">
        <v>8929747.470000001</v>
      </c>
      <c r="X94" s="3" t="n">
        <v>0.53</v>
      </c>
      <c r="Y94" s="3" t="n">
        <v>8929748</v>
      </c>
    </row>
    <row r="95">
      <c r="A95" s="2" t="inlineStr">
        <is>
          <t>64101.0</t>
        </is>
      </c>
      <c r="B95" s="2" t="inlineStr">
        <is>
          <t xml:space="preserve">SECRETARIA DE ESTADO ADMINISTRAÇÃO PENITENCIÁRIA DO DISTRITO FEDERAL </t>
        </is>
      </c>
      <c r="C95" s="2" t="inlineStr">
        <is>
          <t>06.421.6217.2727.0006</t>
        </is>
      </c>
      <c r="D95" s="2" t="inlineStr">
        <is>
          <t>MANUTENÇÃO DO SISTEMA PENITENCIÁRIO DO DF- MANUTENÇÃO DO SISTEMA PENITENCIÁRIO DO DF-DISTRITO FEDERAL</t>
        </is>
      </c>
      <c r="E95" s="2" t="inlineStr">
        <is>
          <t>339014</t>
        </is>
      </c>
      <c r="F95" s="2" t="inlineStr">
        <is>
          <t>100000000</t>
        </is>
      </c>
      <c r="G95" s="2" t="inlineStr">
        <is>
          <t>0</t>
        </is>
      </c>
      <c r="H95" s="3" t="n">
        <v>350000</v>
      </c>
      <c r="I95" s="3" t="n">
        <v>-81954</v>
      </c>
      <c r="J95" s="3" t="n">
        <v>0</v>
      </c>
      <c r="K95" s="3" t="n">
        <v>0</v>
      </c>
      <c r="L95" s="3" t="n">
        <v>268046</v>
      </c>
      <c r="M95" s="3" t="n">
        <v>264871.31</v>
      </c>
      <c r="N95" s="3" t="n">
        <v>264871.31</v>
      </c>
      <c r="O95" s="3" t="n">
        <v>3174.69</v>
      </c>
      <c r="P95" s="3" t="n">
        <v>268046</v>
      </c>
      <c r="Q95" s="3" t="n">
        <v>300000</v>
      </c>
      <c r="R95" s="3" t="n">
        <v>-125038.65</v>
      </c>
      <c r="S95" s="3" t="n">
        <v>39478.43</v>
      </c>
      <c r="T95" s="3" t="n">
        <v>0.01</v>
      </c>
      <c r="U95" s="3" t="n">
        <v>135482.91</v>
      </c>
      <c r="V95" s="3" t="n">
        <v>77386.32000000001</v>
      </c>
      <c r="W95" s="3" t="n">
        <v>76496.53999999999</v>
      </c>
      <c r="X95" s="3" t="n">
        <v>58096.59</v>
      </c>
      <c r="Y95" s="3" t="n">
        <v>174961.35</v>
      </c>
    </row>
    <row r="96">
      <c r="A96" s="2" t="inlineStr">
        <is>
          <t>26206.0</t>
        </is>
      </c>
      <c r="B96" s="2" t="inlineStr">
        <is>
          <t>COMPANHIA DO METROPOLITANO DO DISTRITO FEDERAL</t>
        </is>
      </c>
      <c r="C96" s="2" t="inlineStr">
        <is>
          <t>26.453.6216.2756.6137</t>
        </is>
      </c>
      <c r="D96" s="2" t="inlineStr">
        <is>
          <t>MANUTENÇÃO E FUNCIONAMENTO DO SISTEMA FERROVIÁRIO-DF</t>
        </is>
      </c>
      <c r="E96" s="2" t="inlineStr">
        <is>
          <t>339037</t>
        </is>
      </c>
      <c r="F96" s="2" t="inlineStr">
        <is>
          <t>161000000</t>
        </is>
      </c>
      <c r="G96" s="2" t="inlineStr">
        <is>
          <t>0</t>
        </is>
      </c>
      <c r="H96" s="3" t="n">
        <v>0</v>
      </c>
      <c r="I96" s="3" t="n">
        <v>2389655.04</v>
      </c>
      <c r="J96" s="3" t="n">
        <v>0</v>
      </c>
      <c r="K96" s="3" t="n">
        <v>0</v>
      </c>
      <c r="L96" s="3" t="n">
        <v>2389655.04</v>
      </c>
      <c r="M96" s="3" t="n">
        <v>2389655.04</v>
      </c>
      <c r="N96" s="3" t="n">
        <v>2389655.04</v>
      </c>
      <c r="O96" s="3" t="n">
        <v>0</v>
      </c>
      <c r="P96" s="3" t="n">
        <v>2389655.04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</row>
    <row r="97">
      <c r="A97" s="2" t="inlineStr">
        <is>
          <t>64101.0</t>
        </is>
      </c>
      <c r="B97" s="2" t="inlineStr">
        <is>
          <t xml:space="preserve">SECRETARIA DE ESTADO ADMINISTRAÇÃO PENITENCIÁRIA DO DISTRITO FEDERAL </t>
        </is>
      </c>
      <c r="C97" s="2" t="inlineStr">
        <is>
          <t>06.422.6217.2540.0002</t>
        </is>
      </c>
      <c r="D97" s="2" t="inlineStr">
        <is>
          <t>FORNECIMENTO DE ALIMENTAÇÃO AOS PRESIDIÁRIOS-FORNECIMENTO DE ALIMENTAÇÃO AOS PRESIDIÁRIOS-SEAP-DISTRITO FEDERAL</t>
        </is>
      </c>
      <c r="E97" s="2" t="inlineStr">
        <is>
          <t>339039</t>
        </is>
      </c>
      <c r="F97" s="2" t="inlineStr">
        <is>
          <t>100000000</t>
        </is>
      </c>
      <c r="G97" s="2" t="inlineStr">
        <is>
          <t>0</t>
        </is>
      </c>
      <c r="H97" s="3" t="n">
        <v>40000000</v>
      </c>
      <c r="I97" s="3" t="n">
        <v>21304869</v>
      </c>
      <c r="J97" s="3" t="n">
        <v>0</v>
      </c>
      <c r="K97" s="3" t="n">
        <v>0</v>
      </c>
      <c r="L97" s="3" t="n">
        <v>61304869</v>
      </c>
      <c r="M97" s="3" t="n">
        <v>61275302.54</v>
      </c>
      <c r="N97" s="3" t="n">
        <v>60030056.74</v>
      </c>
      <c r="O97" s="3" t="n">
        <v>29566.46</v>
      </c>
      <c r="P97" s="3" t="n">
        <v>61304869</v>
      </c>
      <c r="Q97" s="3" t="n">
        <v>60000000</v>
      </c>
      <c r="R97" s="3" t="n">
        <v>9605111</v>
      </c>
      <c r="S97" s="3" t="n">
        <v>0</v>
      </c>
      <c r="T97" s="3" t="n">
        <v>0</v>
      </c>
      <c r="U97" s="3" t="n">
        <v>69605111</v>
      </c>
      <c r="V97" s="3" t="n">
        <v>69605049.55</v>
      </c>
      <c r="W97" s="3" t="n">
        <v>65277348.88</v>
      </c>
      <c r="X97" s="3" t="n">
        <v>61.45</v>
      </c>
      <c r="Y97" s="3" t="n">
        <v>69605111</v>
      </c>
    </row>
    <row r="98">
      <c r="A98" s="2" t="inlineStr">
        <is>
          <t>23901.0</t>
        </is>
      </c>
      <c r="B98" s="2" t="inlineStr">
        <is>
          <t>FUNDO DE SAÚDE DO DISTRITO FEDERAL</t>
        </is>
      </c>
      <c r="C98" s="2" t="inlineStr">
        <is>
          <t>10.302.6202.4206.0001</t>
        </is>
      </c>
      <c r="D98" s="2" t="inlineStr">
        <is>
          <t>EXECUÇÃO DE CONTRATOS DE GESTÃO - INSTITUTO DE GESTÃO ESTRATÉGICA DE SAÚDE DO DISTRITO FEDERAL - DISTRITO FEDERAL</t>
        </is>
      </c>
      <c r="E98" s="2" t="inlineStr">
        <is>
          <t>445085</t>
        </is>
      </c>
      <c r="F98" s="2" t="inlineStr">
        <is>
          <t>338000000</t>
        </is>
      </c>
      <c r="G98" s="2" t="inlineStr">
        <is>
          <t>0</t>
        </is>
      </c>
      <c r="H98" s="3" t="n">
        <v>0</v>
      </c>
      <c r="I98" s="3" t="n">
        <v>12937217</v>
      </c>
      <c r="J98" s="3" t="n">
        <v>0</v>
      </c>
      <c r="K98" s="3" t="n">
        <v>0</v>
      </c>
      <c r="L98" s="3" t="n">
        <v>12937217</v>
      </c>
      <c r="M98" s="3" t="n">
        <v>12937217</v>
      </c>
      <c r="N98" s="3" t="n">
        <v>12937217</v>
      </c>
      <c r="O98" s="3" t="n">
        <v>0</v>
      </c>
      <c r="P98" s="3" t="n">
        <v>12937217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</row>
    <row r="99">
      <c r="A99" s="2" t="inlineStr">
        <is>
          <t>17902.0</t>
        </is>
      </c>
      <c r="B99" s="2" t="inlineStr">
        <is>
          <t>FUNDO DE ASSISTÊNCIA SOCIAL DO DISTRITO FEDERAL</t>
        </is>
      </c>
      <c r="C99" s="2" t="inlineStr">
        <is>
          <t>08.245.6228.9073.0003</t>
        </is>
      </c>
      <c r="D99" s="2" t="inlineStr">
        <is>
          <t>TRANSFERÊNCIA PARA BLOCO DA PROTEÇÃO SOCIAL ESPECI - TRANSFERÊNCIA DEMAIS INDIVÍDUOS E FAMÍLIA - DISTRITO FEDERAL</t>
        </is>
      </c>
      <c r="E99" s="2" t="inlineStr">
        <is>
          <t>445042</t>
        </is>
      </c>
      <c r="F99" s="2" t="inlineStr">
        <is>
          <t>100000000</t>
        </is>
      </c>
      <c r="G99" s="2" t="inlineStr">
        <is>
          <t>0</t>
        </is>
      </c>
      <c r="H99" s="3" t="n">
        <v>5000</v>
      </c>
      <c r="I99" s="3" t="n">
        <v>3937317</v>
      </c>
      <c r="J99" s="3" t="n">
        <v>0</v>
      </c>
      <c r="K99" s="3" t="n">
        <v>461.46</v>
      </c>
      <c r="L99" s="3" t="n">
        <v>3941855.54</v>
      </c>
      <c r="M99" s="3" t="n">
        <v>3941854.82</v>
      </c>
      <c r="N99" s="3" t="n">
        <v>3941854.82</v>
      </c>
      <c r="O99" s="3" t="n">
        <v>0.72</v>
      </c>
      <c r="P99" s="3" t="n">
        <v>3942317</v>
      </c>
      <c r="Q99" s="3" t="n">
        <v>0</v>
      </c>
      <c r="R99" s="3" t="n">
        <v>126306</v>
      </c>
      <c r="S99" s="3" t="n">
        <v>0</v>
      </c>
      <c r="T99" s="3" t="n">
        <v>0</v>
      </c>
      <c r="U99" s="3" t="n">
        <v>126306</v>
      </c>
      <c r="V99" s="3" t="n">
        <v>126306</v>
      </c>
      <c r="W99" s="3" t="n">
        <v>94729.5</v>
      </c>
      <c r="X99" s="3" t="n">
        <v>0</v>
      </c>
      <c r="Y99" s="3" t="n">
        <v>126306</v>
      </c>
    </row>
    <row r="100">
      <c r="A100" s="2" t="inlineStr">
        <is>
          <t>17902.0</t>
        </is>
      </c>
      <c r="B100" s="2" t="inlineStr">
        <is>
          <t>FUNDO DE ASSISTÊNCIA SOCIAL DO DISTRITO FEDERAL</t>
        </is>
      </c>
      <c r="C100" s="2" t="inlineStr">
        <is>
          <t>08.245.6228.9073.0003</t>
        </is>
      </c>
      <c r="D100" s="2" t="inlineStr">
        <is>
          <t>TRANSFERÊNCIA PARA BLOCO DA PROTEÇÃO SOCIAL ESPECI - TRANSFERÊNCIA DEMAIS INDIVÍDUOS E FAMÍLIA - DISTRITO FEDERAL</t>
        </is>
      </c>
      <c r="E100" s="2" t="inlineStr">
        <is>
          <t>335043</t>
        </is>
      </c>
      <c r="F100" s="2" t="inlineStr">
        <is>
          <t>358000000</t>
        </is>
      </c>
      <c r="G100" s="2" t="inlineStr">
        <is>
          <t>0</t>
        </is>
      </c>
      <c r="H100" s="3" t="n">
        <v>0</v>
      </c>
      <c r="I100" s="3" t="n">
        <v>5089275</v>
      </c>
      <c r="J100" s="3" t="n">
        <v>0</v>
      </c>
      <c r="K100" s="3" t="n">
        <v>0</v>
      </c>
      <c r="L100" s="3" t="n">
        <v>5089275</v>
      </c>
      <c r="M100" s="3" t="n">
        <v>3650000</v>
      </c>
      <c r="N100" s="3" t="n">
        <v>1625105.16</v>
      </c>
      <c r="O100" s="3" t="n">
        <v>1439275</v>
      </c>
      <c r="P100" s="3" t="n">
        <v>5089275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</row>
    <row r="101">
      <c r="A101" s="2" t="inlineStr">
        <is>
          <t>26206.0</t>
        </is>
      </c>
      <c r="B101" s="2" t="inlineStr">
        <is>
          <t>COMPANHIA DO METROPOLITANO DO DISTRITO FEDERAL</t>
        </is>
      </c>
      <c r="C101" s="2" t="inlineStr">
        <is>
          <t>26.453.6216.2756.6137</t>
        </is>
      </c>
      <c r="D101" s="2" t="inlineStr">
        <is>
          <t>MANUTENÇÃO E FUNCIONAMENTO DO SISTEMA FERROVIÁRIO-DF</t>
        </is>
      </c>
      <c r="E101" s="2" t="inlineStr">
        <is>
          <t>339034</t>
        </is>
      </c>
      <c r="F101" s="2" t="inlineStr">
        <is>
          <t>220000000</t>
        </is>
      </c>
      <c r="G101" s="2" t="inlineStr">
        <is>
          <t>0</t>
        </is>
      </c>
      <c r="H101" s="3" t="n">
        <v>1200000</v>
      </c>
      <c r="I101" s="3" t="n">
        <v>-37565.69</v>
      </c>
      <c r="J101" s="3" t="n">
        <v>0</v>
      </c>
      <c r="K101" s="3" t="n">
        <v>0</v>
      </c>
      <c r="L101" s="3" t="n">
        <v>1162434.31</v>
      </c>
      <c r="M101" s="3" t="n">
        <v>1162434.31</v>
      </c>
      <c r="N101" s="3" t="n">
        <v>1162434.31</v>
      </c>
      <c r="O101" s="3" t="n">
        <v>0</v>
      </c>
      <c r="P101" s="3" t="n">
        <v>1162434.31</v>
      </c>
      <c r="Q101" s="3" t="n">
        <v>0</v>
      </c>
      <c r="R101" s="3" t="n">
        <v>271389.64</v>
      </c>
      <c r="S101" s="3" t="n">
        <v>0</v>
      </c>
      <c r="T101" s="3" t="n">
        <v>0</v>
      </c>
      <c r="U101" s="3" t="n">
        <v>271389.64</v>
      </c>
      <c r="V101" s="3" t="n">
        <v>271389.64</v>
      </c>
      <c r="W101" s="3" t="n">
        <v>271389.64</v>
      </c>
      <c r="X101" s="3" t="n">
        <v>0</v>
      </c>
      <c r="Y101" s="3" t="n">
        <v>271389.64</v>
      </c>
    </row>
    <row r="102">
      <c r="A102" s="2" t="inlineStr">
        <is>
          <t>64101.0</t>
        </is>
      </c>
      <c r="B102" s="2" t="inlineStr">
        <is>
          <t xml:space="preserve">SECRETARIA DE ESTADO ADMINISTRAÇÃO PENITENCIÁRIA DO DISTRITO FEDERAL </t>
        </is>
      </c>
      <c r="C102" s="2" t="inlineStr">
        <is>
          <t>06.421.6217.2727.0006</t>
        </is>
      </c>
      <c r="D102" s="2" t="inlineStr">
        <is>
          <t>MANUTENÇÃO DO SISTEMA PENITENCIÁRIO DO DF- MANUTENÇÃO DO SISTEMA PENITENCIÁRIO DO DF-DISTRITO FEDERAL</t>
        </is>
      </c>
      <c r="E102" s="2" t="inlineStr">
        <is>
          <t>339092</t>
        </is>
      </c>
      <c r="F102" s="2" t="inlineStr">
        <is>
          <t>100000000</t>
        </is>
      </c>
      <c r="G102" s="2" t="inlineStr">
        <is>
          <t>0</t>
        </is>
      </c>
      <c r="H102" s="3" t="n">
        <v>0</v>
      </c>
      <c r="I102" s="3" t="n">
        <v>124331</v>
      </c>
      <c r="J102" s="3" t="n">
        <v>0.6899999999999999</v>
      </c>
      <c r="K102" s="3" t="n">
        <v>0</v>
      </c>
      <c r="L102" s="3" t="n">
        <v>124330.31</v>
      </c>
      <c r="M102" s="3" t="n">
        <v>124330.31</v>
      </c>
      <c r="N102" s="3" t="n">
        <v>124330.31</v>
      </c>
      <c r="O102" s="3" t="n">
        <v>0</v>
      </c>
      <c r="P102" s="3" t="n">
        <v>124331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</row>
    <row r="103">
      <c r="A103" s="2" t="inlineStr">
        <is>
          <t>19101.0</t>
        </is>
      </c>
      <c r="B103" s="2" t="inlineStr">
        <is>
          <t xml:space="preserve">SECRETARIA DE ESTADO DE ECONOMIA  DO DISTRITO FEDERAL                                                                                                 </t>
        </is>
      </c>
      <c r="C103" s="2" t="inlineStr">
        <is>
          <t>04.122.0001.9126.0001</t>
        </is>
      </c>
      <c r="D103" s="2" t="inlineStr">
        <is>
          <t>APORTE  DA CONTRIBUIÇÃO MENSAL DO GOVERNO DO DISTR - DISTRITO FEDERAL</t>
        </is>
      </c>
      <c r="E103" s="2" t="inlineStr">
        <is>
          <t>339108</t>
        </is>
      </c>
      <c r="F103" s="2" t="inlineStr">
        <is>
          <t>102000000</t>
        </is>
      </c>
      <c r="G103" s="2" t="inlineStr">
        <is>
          <t>0</t>
        </is>
      </c>
      <c r="H103" s="3" t="n">
        <v>60000000</v>
      </c>
      <c r="I103" s="3" t="n">
        <v>0</v>
      </c>
      <c r="J103" s="3" t="n">
        <v>0</v>
      </c>
      <c r="K103" s="3" t="n">
        <v>0</v>
      </c>
      <c r="L103" s="3" t="n">
        <v>60000000</v>
      </c>
      <c r="M103" s="3" t="n">
        <v>60000000</v>
      </c>
      <c r="N103" s="3" t="n">
        <v>60000000</v>
      </c>
      <c r="O103" s="3" t="n">
        <v>0</v>
      </c>
      <c r="P103" s="3" t="n">
        <v>60000000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</row>
    <row r="104">
      <c r="A104" s="2" t="inlineStr">
        <is>
          <t>19101.0</t>
        </is>
      </c>
      <c r="B104" s="2" t="inlineStr">
        <is>
          <t xml:space="preserve">SECRETARIA DE ESTADO DE ECONOMIA  DO DISTRITO FEDERAL                                                                                                 </t>
        </is>
      </c>
      <c r="C104" s="2" t="inlineStr">
        <is>
          <t>04.122.0001.9126.0001</t>
        </is>
      </c>
      <c r="D104" s="2" t="inlineStr">
        <is>
          <t>APORTE  DA CONTRIBUIÇÃO MENSAL DO GOVERNO DO DISTR - DISTRITO FEDERAL</t>
        </is>
      </c>
      <c r="E104" s="2" t="inlineStr">
        <is>
          <t>339108</t>
        </is>
      </c>
      <c r="F104" s="2" t="inlineStr">
        <is>
          <t>183000000</t>
        </is>
      </c>
      <c r="G104" s="2" t="inlineStr">
        <is>
          <t>0</t>
        </is>
      </c>
      <c r="H104" s="3" t="n">
        <v>60000000</v>
      </c>
      <c r="I104" s="3" t="n">
        <v>0</v>
      </c>
      <c r="J104" s="3" t="n">
        <v>0</v>
      </c>
      <c r="K104" s="3" t="n">
        <v>0</v>
      </c>
      <c r="L104" s="3" t="n">
        <v>60000000</v>
      </c>
      <c r="M104" s="3" t="n">
        <v>60000000</v>
      </c>
      <c r="N104" s="3" t="n">
        <v>60000000</v>
      </c>
      <c r="O104" s="3" t="n">
        <v>0</v>
      </c>
      <c r="P104" s="3" t="n">
        <v>60000000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</row>
    <row r="105">
      <c r="A105" s="2" t="inlineStr">
        <is>
          <t>23901.0</t>
        </is>
      </c>
      <c r="B105" s="2" t="inlineStr">
        <is>
          <t>FUNDO DE SAÚDE DO DISTRITO FEDERAL</t>
        </is>
      </c>
      <c r="C105" s="2" t="inlineStr">
        <is>
          <t>10.302.6202.4206.0002</t>
        </is>
      </c>
      <c r="D105" s="2" t="inlineStr">
        <is>
          <t>EXECUÇÃO DE CONTRATOS DE GESTÃO-HOSPITAL DA CRIANÇA DE BRASÍLIA JOSÉ ALENCAR - HCB-DISTRITO FEDERAL</t>
        </is>
      </c>
      <c r="E105" s="2" t="inlineStr">
        <is>
          <t>445085</t>
        </is>
      </c>
      <c r="F105" s="2" t="inlineStr">
        <is>
          <t>335000000</t>
        </is>
      </c>
      <c r="G105" s="2" t="inlineStr">
        <is>
          <t>0</t>
        </is>
      </c>
      <c r="H105" s="3" t="n">
        <v>0</v>
      </c>
      <c r="I105" s="3" t="n">
        <v>6995409.84</v>
      </c>
      <c r="J105" s="3" t="n">
        <v>0</v>
      </c>
      <c r="K105" s="3" t="n">
        <v>0</v>
      </c>
      <c r="L105" s="3" t="n">
        <v>6995409.84</v>
      </c>
      <c r="M105" s="3" t="n">
        <v>5745528.75</v>
      </c>
      <c r="N105" s="3" t="n">
        <v>5745528.75</v>
      </c>
      <c r="O105" s="3" t="n">
        <v>1249881.09</v>
      </c>
      <c r="P105" s="3" t="n">
        <v>6995409.84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</row>
    <row r="106">
      <c r="A106" s="2" t="inlineStr">
        <is>
          <t>26101.0</t>
        </is>
      </c>
      <c r="B106" s="2" t="inlineStr">
        <is>
          <t>SECRETARIA DE ESTADO DE TRANSPORTE E MOBILIDADE DO DISTRITO FEDERAL</t>
        </is>
      </c>
      <c r="C106" s="2" t="inlineStr">
        <is>
          <t>26.453.6216.2455.0001</t>
        </is>
      </c>
      <c r="D106" s="2" t="inlineStr">
        <is>
          <t>MANUTENÇÃO DO EQUILÍBRIO FINANCEIRO DO SISTEMA DE TRANSPORTE PÚBLICO COLETIVO - STPC - Sistema de Transporte Público Complementar Rural - DISTRITO FEDERAL</t>
        </is>
      </c>
      <c r="E106" s="2" t="inlineStr">
        <is>
          <t>339092</t>
        </is>
      </c>
      <c r="F106" s="2" t="inlineStr">
        <is>
          <t>100000000</t>
        </is>
      </c>
      <c r="G106" s="2" t="inlineStr">
        <is>
          <t>0</t>
        </is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8999085</v>
      </c>
      <c r="S106" s="3" t="n">
        <v>0</v>
      </c>
      <c r="T106" s="3" t="n">
        <v>0</v>
      </c>
      <c r="U106" s="3" t="n">
        <v>8999085</v>
      </c>
      <c r="V106" s="3" t="n">
        <v>0</v>
      </c>
      <c r="W106" s="3" t="n">
        <v>0</v>
      </c>
      <c r="X106" s="3" t="n">
        <v>8999085</v>
      </c>
      <c r="Y106" s="3" t="n">
        <v>8999085</v>
      </c>
    </row>
    <row r="107">
      <c r="A107" s="2" t="inlineStr">
        <is>
          <t>19101.0</t>
        </is>
      </c>
      <c r="B107" s="2" t="inlineStr">
        <is>
          <t xml:space="preserve">SECRETARIA DE ESTADO DE ECONOMIA  DO DISTRITO FEDERAL                                                                                                 </t>
        </is>
      </c>
      <c r="C107" s="2" t="inlineStr">
        <is>
          <t>04.122.8203.2990.0006</t>
        </is>
      </c>
      <c r="D107" s="2" t="inlineStr">
        <is>
          <t>MANUTENÇÃO DE BENS IMÓVEIS DO GDF-VIGILÂNCIA-DISTRITO FEDERAL</t>
        </is>
      </c>
      <c r="E107" s="2" t="inlineStr">
        <is>
          <t>339037</t>
        </is>
      </c>
      <c r="F107" s="2" t="inlineStr">
        <is>
          <t>101000000</t>
        </is>
      </c>
      <c r="G107" s="2" t="inlineStr">
        <is>
          <t>0</t>
        </is>
      </c>
      <c r="H107" s="3" t="n">
        <v>31861416</v>
      </c>
      <c r="I107" s="3" t="n">
        <v>31998356</v>
      </c>
      <c r="J107" s="3" t="n">
        <v>0</v>
      </c>
      <c r="K107" s="3" t="n">
        <v>0</v>
      </c>
      <c r="L107" s="3" t="n">
        <v>63859772</v>
      </c>
      <c r="M107" s="3" t="n">
        <v>63859772</v>
      </c>
      <c r="N107" s="3" t="n">
        <v>63859772</v>
      </c>
      <c r="O107" s="3" t="n">
        <v>0</v>
      </c>
      <c r="P107" s="3" t="n">
        <v>63859772</v>
      </c>
      <c r="Q107" s="3" t="n">
        <v>18468816</v>
      </c>
      <c r="R107" s="3" t="n">
        <v>38602586</v>
      </c>
      <c r="S107" s="3" t="n">
        <v>0</v>
      </c>
      <c r="T107" s="3" t="n">
        <v>0.01</v>
      </c>
      <c r="U107" s="3" t="n">
        <v>57071401.99</v>
      </c>
      <c r="V107" s="3" t="n">
        <v>57071401.57</v>
      </c>
      <c r="W107" s="3" t="n">
        <v>43854770.32</v>
      </c>
      <c r="X107" s="3" t="n">
        <v>0.42</v>
      </c>
      <c r="Y107" s="3" t="n">
        <v>57071402</v>
      </c>
    </row>
    <row r="108">
      <c r="A108" s="2" t="inlineStr">
        <is>
          <t>64101.0</t>
        </is>
      </c>
      <c r="B108" s="2" t="inlineStr">
        <is>
          <t xml:space="preserve">SECRETARIA DE ESTADO ADMINISTRAÇÃO PENITENCIÁRIA DO DISTRITO FEDERAL </t>
        </is>
      </c>
      <c r="C108" s="2" t="inlineStr">
        <is>
          <t>06.421.6217.2727.0006</t>
        </is>
      </c>
      <c r="D108" s="2" t="inlineStr">
        <is>
          <t>MANUTENÇÃO DO SISTEMA PENITENCIÁRIO DO DF- MANUTENÇÃO DO SISTEMA PENITENCIÁRIO DO DF-DISTRITO FEDERAL</t>
        </is>
      </c>
      <c r="E108" s="2" t="inlineStr">
        <is>
          <t>339037</t>
        </is>
      </c>
      <c r="F108" s="2" t="inlineStr">
        <is>
          <t>100000000</t>
        </is>
      </c>
      <c r="G108" s="2" t="inlineStr">
        <is>
          <t>0</t>
        </is>
      </c>
      <c r="H108" s="3" t="n">
        <v>700000</v>
      </c>
      <c r="I108" s="3" t="n">
        <v>224380.18</v>
      </c>
      <c r="J108" s="3" t="n">
        <v>0</v>
      </c>
      <c r="K108" s="3" t="n">
        <v>0</v>
      </c>
      <c r="L108" s="3" t="n">
        <v>924380.1800000001</v>
      </c>
      <c r="M108" s="3" t="n">
        <v>924379.91</v>
      </c>
      <c r="N108" s="3" t="n">
        <v>752744.2</v>
      </c>
      <c r="O108" s="3" t="n">
        <v>0.27</v>
      </c>
      <c r="P108" s="3" t="n">
        <v>924380.1800000001</v>
      </c>
      <c r="Q108" s="3" t="n">
        <v>1500000</v>
      </c>
      <c r="R108" s="3" t="n">
        <v>-1499986.17</v>
      </c>
      <c r="S108" s="3" t="n">
        <v>0</v>
      </c>
      <c r="T108" s="3" t="n">
        <v>0.55</v>
      </c>
      <c r="U108" s="3" t="n">
        <v>13.28</v>
      </c>
      <c r="V108" s="3" t="n">
        <v>0</v>
      </c>
      <c r="W108" s="3" t="n">
        <v>0</v>
      </c>
      <c r="X108" s="3" t="n">
        <v>13.28</v>
      </c>
      <c r="Y108" s="3" t="n">
        <v>13.83</v>
      </c>
    </row>
    <row r="109">
      <c r="A109" s="2" t="inlineStr">
        <is>
          <t>17902.0</t>
        </is>
      </c>
      <c r="B109" s="2" t="inlineStr">
        <is>
          <t>FUNDO DE ASSISTÊNCIA SOCIAL DO DISTRITO FEDERAL</t>
        </is>
      </c>
      <c r="C109" s="2" t="inlineStr">
        <is>
          <t>08.245.6228.9071.0003</t>
        </is>
      </c>
      <c r="D109" s="2" t="inlineStr">
        <is>
          <t>(OCA)TRANSFERÊNCIA PARA BLOCO DA PROTEÇÃO SOCIAL BÁSICA - TRANSFERÊNCIA CRIANÇA E ADOLESCENTE - DISTRITO FEDERAL</t>
        </is>
      </c>
      <c r="E109" s="2" t="inlineStr">
        <is>
          <t>335092</t>
        </is>
      </c>
      <c r="F109" s="2" t="inlineStr">
        <is>
          <t>100000000</t>
        </is>
      </c>
      <c r="G109" s="2" t="inlineStr">
        <is>
          <t>0</t>
        </is>
      </c>
      <c r="H109" s="3" t="n">
        <v>0</v>
      </c>
      <c r="I109" s="3" t="n">
        <v>1029455.25</v>
      </c>
      <c r="J109" s="3" t="n">
        <v>0</v>
      </c>
      <c r="K109" s="3" t="n">
        <v>0</v>
      </c>
      <c r="L109" s="3" t="n">
        <v>1029455.25</v>
      </c>
      <c r="M109" s="3" t="n">
        <v>1029455.25</v>
      </c>
      <c r="N109" s="3" t="n">
        <v>1021318.85</v>
      </c>
      <c r="O109" s="3" t="n">
        <v>0</v>
      </c>
      <c r="P109" s="3" t="n">
        <v>1029455.25</v>
      </c>
      <c r="Q109" s="3" t="n">
        <v>0</v>
      </c>
      <c r="R109" s="3" t="n">
        <v>2099038</v>
      </c>
      <c r="S109" s="3" t="n">
        <v>0</v>
      </c>
      <c r="T109" s="3" t="n">
        <v>0</v>
      </c>
      <c r="U109" s="3" t="n">
        <v>2099038</v>
      </c>
      <c r="V109" s="3" t="n">
        <v>2099037.86</v>
      </c>
      <c r="W109" s="3" t="n">
        <v>2099037.86</v>
      </c>
      <c r="X109" s="3" t="n">
        <v>0.14</v>
      </c>
      <c r="Y109" s="3" t="n">
        <v>2099038</v>
      </c>
    </row>
    <row r="110">
      <c r="A110" s="2" t="inlineStr">
        <is>
          <t>17906.0</t>
        </is>
      </c>
      <c r="B110" s="2" t="inlineStr">
        <is>
          <t>FUNDO DE COMBATE E ERRADICAÇÃO DA POBREZA</t>
        </is>
      </c>
      <c r="C110" s="2" t="inlineStr">
        <is>
          <t>08.244.6228.4162.0008</t>
        </is>
      </c>
      <c r="D110" s="2" t="inlineStr">
        <is>
          <t>TRANSFERÊNCIA DE RENDA PARA FAMÍLIAS DO DF CADASTRADAS NO CADÚNICO-FUNDO DE COMBATE E ERRADICAÇÃO DA POBREZA-DISTRITO FEDERAL</t>
        </is>
      </c>
      <c r="E110" s="2" t="inlineStr">
        <is>
          <t>339048</t>
        </is>
      </c>
      <c r="F110" s="2" t="inlineStr">
        <is>
          <t>102000000</t>
        </is>
      </c>
      <c r="G110" s="2" t="inlineStr">
        <is>
          <t>0</t>
        </is>
      </c>
      <c r="H110" s="3" t="n">
        <v>0</v>
      </c>
      <c r="I110" s="3" t="n">
        <v>10593100</v>
      </c>
      <c r="J110" s="3" t="n">
        <v>0</v>
      </c>
      <c r="K110" s="3" t="n">
        <v>0</v>
      </c>
      <c r="L110" s="3" t="n">
        <v>10593100</v>
      </c>
      <c r="M110" s="3" t="n">
        <v>10476275</v>
      </c>
      <c r="N110" s="3" t="n">
        <v>10476275</v>
      </c>
      <c r="O110" s="3" t="n">
        <v>116825</v>
      </c>
      <c r="P110" s="3" t="n">
        <v>10593100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</row>
    <row r="111">
      <c r="A111" s="2" t="inlineStr">
        <is>
          <t>23901.0</t>
        </is>
      </c>
      <c r="B111" s="2" t="inlineStr">
        <is>
          <t>FUNDO DE SAÚDE DO DISTRITO FEDERAL</t>
        </is>
      </c>
      <c r="C111" s="2" t="inlineStr">
        <is>
          <t>10.302.6202.4206.0001</t>
        </is>
      </c>
      <c r="D111" s="2" t="inlineStr">
        <is>
          <t>EXECUÇÃO DE CONTRATOS DE GESTÃO - INSTITUTO DE GESTÃO ESTRATÉGICA DE SAÚDE DO DISTRITO FEDERAL - DISTRITO FEDERAL</t>
        </is>
      </c>
      <c r="E111" s="2" t="inlineStr">
        <is>
          <t>445085</t>
        </is>
      </c>
      <c r="F111" s="2" t="inlineStr">
        <is>
          <t>838000000</t>
        </is>
      </c>
      <c r="G111" s="2" t="inlineStr">
        <is>
          <t>0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</row>
    <row r="112">
      <c r="A112" s="2" t="inlineStr">
        <is>
          <t>26101.0</t>
        </is>
      </c>
      <c r="B112" s="2" t="inlineStr">
        <is>
          <t>SECRETARIA DE ESTADO DE TRANSPORTE E MOBILIDADE DO DISTRITO FEDERAL</t>
        </is>
      </c>
      <c r="C112" s="2" t="inlineStr">
        <is>
          <t>26.453.6216.4202.0002</t>
        </is>
      </c>
      <c r="D112" s="2" t="inlineStr">
        <is>
          <t>CONCESSÃO DE PASSE LIVRE-PORTADORES DE NECESSIDADES ESPECIAIS PNE-DISTRITO FEDERAL</t>
        </is>
      </c>
      <c r="E112" s="2" t="inlineStr">
        <is>
          <t>339039</t>
        </is>
      </c>
      <c r="F112" s="2" t="inlineStr">
        <is>
          <t>100000000</t>
        </is>
      </c>
      <c r="G112" s="2" t="inlineStr">
        <is>
          <t>0</t>
        </is>
      </c>
      <c r="H112" s="3" t="n">
        <v>0</v>
      </c>
      <c r="I112" s="3" t="n">
        <v>104531719.52</v>
      </c>
      <c r="J112" s="3" t="n">
        <v>0</v>
      </c>
      <c r="K112" s="3" t="n">
        <v>0</v>
      </c>
      <c r="L112" s="3" t="n">
        <v>104531719.52</v>
      </c>
      <c r="M112" s="3" t="n">
        <v>104511144.69</v>
      </c>
      <c r="N112" s="3" t="n">
        <v>104385271.19</v>
      </c>
      <c r="O112" s="3" t="n">
        <v>20574.83</v>
      </c>
      <c r="P112" s="3" t="n">
        <v>104531719.52</v>
      </c>
      <c r="Q112" s="3" t="n">
        <v>0</v>
      </c>
      <c r="R112" s="3" t="n">
        <v>107818015.14</v>
      </c>
      <c r="S112" s="3" t="n">
        <v>0</v>
      </c>
      <c r="T112" s="3" t="n">
        <v>0</v>
      </c>
      <c r="U112" s="3" t="n">
        <v>107818015.14</v>
      </c>
      <c r="V112" s="3" t="n">
        <v>107818015.14</v>
      </c>
      <c r="W112" s="3" t="n">
        <v>106767336.52</v>
      </c>
      <c r="X112" s="3" t="n">
        <v>0</v>
      </c>
      <c r="Y112" s="3" t="n">
        <v>107818015.14</v>
      </c>
    </row>
    <row r="113">
      <c r="A113" s="2" t="inlineStr">
        <is>
          <t>23901.0</t>
        </is>
      </c>
      <c r="B113" s="2" t="inlineStr">
        <is>
          <t>FUNDO DE SAÚDE DO DISTRITO FEDERAL</t>
        </is>
      </c>
      <c r="C113" s="2" t="inlineStr">
        <is>
          <t>10.302.6202.4206.0002</t>
        </is>
      </c>
      <c r="D113" s="2" t="inlineStr">
        <is>
          <t>EXECUÇÃO DE CONTRATOS DE GESTÃO-HOSPITAL DA CRIANÇA DE BRASÍLIA JOSÉ ALENCAR - HCB-DISTRITO FEDERAL</t>
        </is>
      </c>
      <c r="E113" s="2" t="inlineStr">
        <is>
          <t>445092</t>
        </is>
      </c>
      <c r="F113" s="2" t="inlineStr">
        <is>
          <t>335000000</t>
        </is>
      </c>
      <c r="G113" s="2" t="inlineStr">
        <is>
          <t>0</t>
        </is>
      </c>
      <c r="H113" s="3" t="n">
        <v>0</v>
      </c>
      <c r="I113" s="3" t="n">
        <v>922958</v>
      </c>
      <c r="J113" s="3" t="n">
        <v>0</v>
      </c>
      <c r="K113" s="3" t="n">
        <v>0</v>
      </c>
      <c r="L113" s="3" t="n">
        <v>922958</v>
      </c>
      <c r="M113" s="3" t="n">
        <v>922957.2</v>
      </c>
      <c r="N113" s="3" t="n">
        <v>0</v>
      </c>
      <c r="O113" s="3" t="n">
        <v>0.8</v>
      </c>
      <c r="P113" s="3" t="n">
        <v>922958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</row>
    <row r="114">
      <c r="A114" s="2" t="inlineStr">
        <is>
          <t>17101.0</t>
        </is>
      </c>
      <c r="B114" s="2" t="inlineStr">
        <is>
          <t xml:space="preserve">SECRETARIA DE ESTADO DE DESENVOLVIMENTO  SOCIAL DO DISTRITO FEDERAL                                                                                   </t>
        </is>
      </c>
      <c r="C114" s="2" t="inlineStr">
        <is>
          <t>08.244.6228.4272.0001</t>
        </is>
      </c>
      <c r="D114" s="2" t="inlineStr">
        <is>
          <t>FORNECIMENTO EMERGENCIAL DE ALIMENTOS-- SETOR COMPL. DE IND. E ABASTECIMENTO</t>
        </is>
      </c>
      <c r="E114" s="2" t="inlineStr">
        <is>
          <t>339048</t>
        </is>
      </c>
      <c r="F114" s="2" t="inlineStr">
        <is>
          <t>101000000</t>
        </is>
      </c>
      <c r="G114" s="2" t="inlineStr">
        <is>
          <t>0</t>
        </is>
      </c>
      <c r="H114" s="3" t="n">
        <v>0</v>
      </c>
      <c r="I114" s="3" t="n">
        <v>19423738</v>
      </c>
      <c r="J114" s="3" t="n">
        <v>0</v>
      </c>
      <c r="K114" s="3" t="n">
        <v>0</v>
      </c>
      <c r="L114" s="3" t="n">
        <v>19423738</v>
      </c>
      <c r="M114" s="3" t="n">
        <v>19423738</v>
      </c>
      <c r="N114" s="3" t="n">
        <v>19423738</v>
      </c>
      <c r="O114" s="3" t="n">
        <v>0</v>
      </c>
      <c r="P114" s="3" t="n">
        <v>19423738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</row>
    <row r="115">
      <c r="A115" s="2" t="inlineStr">
        <is>
          <t>64101.0</t>
        </is>
      </c>
      <c r="B115" s="2" t="inlineStr">
        <is>
          <t xml:space="preserve">SECRETARIA DE ESTADO ADMINISTRAÇÃO PENITENCIÁRIA DO DISTRITO FEDERAL </t>
        </is>
      </c>
      <c r="C115" s="2" t="inlineStr">
        <is>
          <t>06.421.6217.2727.0006</t>
        </is>
      </c>
      <c r="D115" s="2" t="inlineStr">
        <is>
          <t>MANUTENÇÃO DO SISTEMA PENITENCIÁRIO DO DF- MANUTENÇÃO DO SISTEMA PENITENCIÁRIO DO DF-DISTRITO FEDERAL</t>
        </is>
      </c>
      <c r="E115" s="2" t="inlineStr">
        <is>
          <t>339039</t>
        </is>
      </c>
      <c r="F115" s="2" t="inlineStr">
        <is>
          <t>183000000</t>
        </is>
      </c>
      <c r="G115" s="2" t="inlineStr">
        <is>
          <t>0</t>
        </is>
      </c>
      <c r="H115" s="3" t="n">
        <v>0</v>
      </c>
      <c r="I115" s="3" t="n">
        <v>2012000</v>
      </c>
      <c r="J115" s="3" t="n">
        <v>0</v>
      </c>
      <c r="K115" s="3" t="n">
        <v>0</v>
      </c>
      <c r="L115" s="3" t="n">
        <v>2012000</v>
      </c>
      <c r="M115" s="3" t="n">
        <v>2012000</v>
      </c>
      <c r="N115" s="3" t="n">
        <v>2000000</v>
      </c>
      <c r="O115" s="3" t="n">
        <v>0</v>
      </c>
      <c r="P115" s="3" t="n">
        <v>2012000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</row>
    <row r="116">
      <c r="A116" s="2" t="inlineStr">
        <is>
          <t>22214.0</t>
        </is>
      </c>
      <c r="B116" s="2" t="inlineStr">
        <is>
          <t xml:space="preserve">SERVIÇO DE LIMPEZA URBANA </t>
        </is>
      </c>
      <c r="C116" s="2" t="inlineStr">
        <is>
          <t>15.452.6209.2079.6118</t>
        </is>
      </c>
      <c r="D116" s="2" t="inlineStr">
        <is>
          <t>MANUTENÇÃO DAS ATIVIDADES DE LIMPEZA PÚBLICA--DISTRITO FEDERAL</t>
        </is>
      </c>
      <c r="E116" s="2" t="inlineStr">
        <is>
          <t>339032</t>
        </is>
      </c>
      <c r="F116" s="2" t="inlineStr">
        <is>
          <t>100000000</t>
        </is>
      </c>
      <c r="G116" s="2" t="inlineStr">
        <is>
          <t>0</t>
        </is>
      </c>
      <c r="H116" s="3" t="n">
        <v>0</v>
      </c>
      <c r="I116" s="3" t="n">
        <v>1596080</v>
      </c>
      <c r="J116" s="3" t="n">
        <v>0</v>
      </c>
      <c r="K116" s="3" t="n">
        <v>0</v>
      </c>
      <c r="L116" s="3" t="n">
        <v>1596080</v>
      </c>
      <c r="M116" s="3" t="n">
        <v>1348800</v>
      </c>
      <c r="N116" s="3" t="n">
        <v>1348800</v>
      </c>
      <c r="O116" s="3" t="n">
        <v>247280</v>
      </c>
      <c r="P116" s="3" t="n">
        <v>1596080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</row>
    <row r="117">
      <c r="A117" s="2" t="inlineStr">
        <is>
          <t>18101.0</t>
        </is>
      </c>
      <c r="B117" s="2" t="inlineStr">
        <is>
          <t>SECRETARIA DE ESTADO DE  EDUCAÇÃO DO DISTRITO FEDERAL</t>
        </is>
      </c>
      <c r="C117" s="2" t="inlineStr">
        <is>
          <t>12.122.6221.4091.0096</t>
        </is>
      </c>
      <c r="D117" s="2" t="inlineStr">
        <is>
          <t>APOIO A PROJETOS-EDUCADOR SOCIAL VOLUNTÁRIO (ESV)-DISTRITO FEDERAL</t>
        </is>
      </c>
      <c r="E117" s="2" t="inlineStr">
        <is>
          <t>339039</t>
        </is>
      </c>
      <c r="F117" s="2" t="inlineStr">
        <is>
          <t>100000000</t>
        </is>
      </c>
      <c r="G117" s="2" t="inlineStr">
        <is>
          <t>0</t>
        </is>
      </c>
      <c r="H117" s="3" t="n">
        <v>0</v>
      </c>
      <c r="I117" s="3" t="n">
        <v>399600</v>
      </c>
      <c r="J117" s="3" t="n">
        <v>0</v>
      </c>
      <c r="K117" s="3" t="n">
        <v>0</v>
      </c>
      <c r="L117" s="3" t="n">
        <v>399600</v>
      </c>
      <c r="M117" s="3" t="n">
        <v>399600</v>
      </c>
      <c r="N117" s="3" t="n">
        <v>0</v>
      </c>
      <c r="O117" s="3" t="n">
        <v>0</v>
      </c>
      <c r="P117" s="3" t="n">
        <v>399600</v>
      </c>
      <c r="Q117" s="3" t="n">
        <v>326832</v>
      </c>
      <c r="R117" s="3" t="n">
        <v>-125264.56</v>
      </c>
      <c r="S117" s="3" t="n">
        <v>0</v>
      </c>
      <c r="T117" s="3" t="n">
        <v>0</v>
      </c>
      <c r="U117" s="3" t="n">
        <v>201567.44</v>
      </c>
      <c r="V117" s="3" t="n">
        <v>174735.44</v>
      </c>
      <c r="W117" s="3" t="n">
        <v>37855.44</v>
      </c>
      <c r="X117" s="3" t="n">
        <v>26832</v>
      </c>
      <c r="Y117" s="3" t="n">
        <v>201567.44</v>
      </c>
    </row>
    <row r="118">
      <c r="A118" s="2" t="inlineStr">
        <is>
          <t>19101.0</t>
        </is>
      </c>
      <c r="B118" s="2" t="inlineStr">
        <is>
          <t xml:space="preserve">SECRETARIA DE ESTADO DE ECONOMIA  DO DISTRITO FEDERAL                                                                                                 </t>
        </is>
      </c>
      <c r="C118" s="2" t="inlineStr">
        <is>
          <t>04.122.0001.9126.0001</t>
        </is>
      </c>
      <c r="D118" s="2" t="inlineStr">
        <is>
          <t>APORTE  DA CONTRIBUIÇÃO MENSAL DO GOVERNO DO DISTR - DISTRITO FEDERAL</t>
        </is>
      </c>
      <c r="E118" s="2" t="inlineStr">
        <is>
          <t>339108</t>
        </is>
      </c>
      <c r="F118" s="2" t="inlineStr">
        <is>
          <t>100000000</t>
        </is>
      </c>
      <c r="G118" s="2" t="inlineStr">
        <is>
          <t>0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50000000</v>
      </c>
      <c r="R118" s="3" t="n">
        <v>-7677995.38</v>
      </c>
      <c r="S118" s="3" t="n">
        <v>0</v>
      </c>
      <c r="T118" s="3" t="n">
        <v>2232178.61</v>
      </c>
      <c r="U118" s="3" t="n">
        <v>40089826.01</v>
      </c>
      <c r="V118" s="3" t="n">
        <v>40089826.01</v>
      </c>
      <c r="W118" s="3" t="n">
        <v>40089826.01</v>
      </c>
      <c r="X118" s="3" t="n">
        <v>0</v>
      </c>
      <c r="Y118" s="3" t="n">
        <v>42322004.62</v>
      </c>
    </row>
    <row r="119">
      <c r="A119" s="2" t="inlineStr">
        <is>
          <t>17902.0</t>
        </is>
      </c>
      <c r="B119" s="2" t="inlineStr">
        <is>
          <t>FUNDO DE ASSISTÊNCIA SOCIAL DO DISTRITO FEDERAL</t>
        </is>
      </c>
      <c r="C119" s="2" t="inlineStr">
        <is>
          <t>08.245.6228.9071.0003</t>
        </is>
      </c>
      <c r="D119" s="2" t="inlineStr">
        <is>
          <t>(OCA)TRANSFERÊNCIA PARA BLOCO DA PROTEÇÃO SOCIAL BÁSICA - TRANSFERÊNCIA CRIANÇA E ADOLESCENTE - DISTRITO FEDERAL</t>
        </is>
      </c>
      <c r="E119" s="2" t="inlineStr">
        <is>
          <t>445042</t>
        </is>
      </c>
      <c r="F119" s="2" t="inlineStr">
        <is>
          <t>358000000</t>
        </is>
      </c>
      <c r="G119" s="2" t="inlineStr">
        <is>
          <t>0</t>
        </is>
      </c>
      <c r="H119" s="3" t="n">
        <v>0</v>
      </c>
      <c r="I119" s="3" t="n">
        <v>195802</v>
      </c>
      <c r="J119" s="3" t="n">
        <v>0</v>
      </c>
      <c r="K119" s="3" t="n">
        <v>0</v>
      </c>
      <c r="L119" s="3" t="n">
        <v>195802</v>
      </c>
      <c r="M119" s="3" t="n">
        <v>0</v>
      </c>
      <c r="N119" s="3" t="n">
        <v>0</v>
      </c>
      <c r="O119" s="3" t="n">
        <v>195802</v>
      </c>
      <c r="P119" s="3" t="n">
        <v>195802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</row>
    <row r="120">
      <c r="A120" s="2" t="inlineStr">
        <is>
          <t>22201.0</t>
        </is>
      </c>
      <c r="B120" s="2" t="inlineStr">
        <is>
          <t xml:space="preserve">COMPANHIA URBANIZADORA DA NOVA CAPITAL </t>
        </is>
      </c>
      <c r="C120" s="2" t="inlineStr">
        <is>
          <t>17.512.6209.2903.0001</t>
        </is>
      </c>
      <c r="D120" s="2" t="inlineStr">
        <is>
          <t>MANUTENÇÃO DE REDES DE ÁGUAS PLUVIAIS--DISTRITO FEDERAL</t>
        </is>
      </c>
      <c r="E120" s="2" t="inlineStr">
        <is>
          <t>339033</t>
        </is>
      </c>
      <c r="F120" s="2" t="inlineStr">
        <is>
          <t>100000000</t>
        </is>
      </c>
      <c r="G120" s="2" t="inlineStr">
        <is>
          <t>0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</row>
    <row r="121">
      <c r="A121" s="2" t="inlineStr">
        <is>
          <t>19101.0</t>
        </is>
      </c>
      <c r="B121" s="2" t="inlineStr">
        <is>
          <t xml:space="preserve">SECRETARIA DE ESTADO DE ECONOMIA  DO DISTRITO FEDERAL                                                                                                 </t>
        </is>
      </c>
      <c r="C121" s="2" t="inlineStr">
        <is>
          <t>04.122.8203.2984.0001</t>
        </is>
      </c>
      <c r="D121" s="2" t="inlineStr">
        <is>
          <t>MANUTENÇÃO DA FROTA OFICIAL DE VEÍCULOS-DISTRITO FEDERAL-DISTRITO FEDERAL</t>
        </is>
      </c>
      <c r="E121" s="2" t="inlineStr">
        <is>
          <t>339047</t>
        </is>
      </c>
      <c r="F121" s="2" t="inlineStr">
        <is>
          <t>100000000</t>
        </is>
      </c>
      <c r="G121" s="2" t="inlineStr">
        <is>
          <t>0</t>
        </is>
      </c>
      <c r="H121" s="3" t="n">
        <v>0</v>
      </c>
      <c r="I121" s="3" t="n">
        <v>1827.98</v>
      </c>
      <c r="J121" s="3" t="n">
        <v>0</v>
      </c>
      <c r="K121" s="3" t="n">
        <v>0</v>
      </c>
      <c r="L121" s="3" t="n">
        <v>1827.98</v>
      </c>
      <c r="M121" s="3" t="n">
        <v>1827.98</v>
      </c>
      <c r="N121" s="3" t="n">
        <v>1827.98</v>
      </c>
      <c r="O121" s="3" t="n">
        <v>0</v>
      </c>
      <c r="P121" s="3" t="n">
        <v>1827.98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</row>
    <row r="122">
      <c r="A122" s="2" t="inlineStr">
        <is>
          <t>22201.0</t>
        </is>
      </c>
      <c r="B122" s="2" t="inlineStr">
        <is>
          <t xml:space="preserve">COMPANHIA URBANIZADORA DA NOVA CAPITAL </t>
        </is>
      </c>
      <c r="C122" s="2" t="inlineStr">
        <is>
          <t>15.452.6209.8508.0002</t>
        </is>
      </c>
      <c r="D122" s="2" t="inlineStr">
        <is>
          <t>MANUTENÇÃO DE ÁREAS URBANIZADAS E AJARDINADAS-MANUTENÇÃO DE VIAS PÚBLICAS-DISTRITO FEDERAL</t>
        </is>
      </c>
      <c r="E122" s="2" t="inlineStr">
        <is>
          <t>339033</t>
        </is>
      </c>
      <c r="F122" s="2" t="inlineStr">
        <is>
          <t>101000000</t>
        </is>
      </c>
      <c r="G122" s="2" t="inlineStr">
        <is>
          <t>0</t>
        </is>
      </c>
      <c r="H122" s="3" t="n">
        <v>0</v>
      </c>
      <c r="I122" s="3" t="n">
        <v>1179266.19</v>
      </c>
      <c r="J122" s="3" t="n">
        <v>0</v>
      </c>
      <c r="K122" s="3" t="n">
        <v>0</v>
      </c>
      <c r="L122" s="3" t="n">
        <v>1179266.19</v>
      </c>
      <c r="M122" s="3" t="n">
        <v>1179266.19</v>
      </c>
      <c r="N122" s="3" t="n">
        <v>1179266.19</v>
      </c>
      <c r="O122" s="3" t="n">
        <v>0</v>
      </c>
      <c r="P122" s="3" t="n">
        <v>1179266.19</v>
      </c>
      <c r="Q122" s="3" t="n">
        <v>0</v>
      </c>
      <c r="R122" s="3" t="n">
        <v>113662.03</v>
      </c>
      <c r="S122" s="3" t="n">
        <v>0</v>
      </c>
      <c r="T122" s="3" t="n">
        <v>0</v>
      </c>
      <c r="U122" s="3" t="n">
        <v>113662.03</v>
      </c>
      <c r="V122" s="3" t="n">
        <v>113662.03</v>
      </c>
      <c r="W122" s="3" t="n">
        <v>0</v>
      </c>
      <c r="X122" s="3" t="n">
        <v>0</v>
      </c>
      <c r="Y122" s="3" t="n">
        <v>113662.03</v>
      </c>
    </row>
    <row r="123">
      <c r="A123" s="2" t="inlineStr">
        <is>
          <t>17906.0</t>
        </is>
      </c>
      <c r="B123" s="2" t="inlineStr">
        <is>
          <t>FUNDO DE COMBATE E ERRADICAÇÃO DA POBREZA</t>
        </is>
      </c>
      <c r="C123" s="2" t="inlineStr">
        <is>
          <t>08.244.6228.4162.0008</t>
        </is>
      </c>
      <c r="D123" s="2" t="inlineStr">
        <is>
          <t>TRANSFERÊNCIA DE RENDA PARA FAMÍLIAS DO DF CADASTRADAS NO CADÚNICO-FUNDO DE COMBATE E ERRADICAÇÃO DA POBREZA-DISTRITO FEDERAL</t>
        </is>
      </c>
      <c r="E123" s="2" t="inlineStr">
        <is>
          <t>339048</t>
        </is>
      </c>
      <c r="F123" s="2" t="inlineStr">
        <is>
          <t>100000000</t>
        </is>
      </c>
      <c r="G123" s="2" t="inlineStr">
        <is>
          <t>0</t>
        </is>
      </c>
      <c r="H123" s="3" t="n">
        <v>83629274</v>
      </c>
      <c r="I123" s="3" t="n">
        <v>0</v>
      </c>
      <c r="J123" s="3" t="n">
        <v>0</v>
      </c>
      <c r="K123" s="3" t="n">
        <v>0</v>
      </c>
      <c r="L123" s="3" t="n">
        <v>83629274</v>
      </c>
      <c r="M123" s="3" t="n">
        <v>83629274</v>
      </c>
      <c r="N123" s="3" t="n">
        <v>83452392</v>
      </c>
      <c r="O123" s="3" t="n">
        <v>0</v>
      </c>
      <c r="P123" s="3" t="n">
        <v>83629274</v>
      </c>
      <c r="Q123" s="3" t="n">
        <v>103838547</v>
      </c>
      <c r="R123" s="3" t="n">
        <v>0</v>
      </c>
      <c r="S123" s="3" t="n">
        <v>0</v>
      </c>
      <c r="T123" s="3" t="n">
        <v>0</v>
      </c>
      <c r="U123" s="3" t="n">
        <v>103838547</v>
      </c>
      <c r="V123" s="3" t="n">
        <v>103838547</v>
      </c>
      <c r="W123" s="3" t="n">
        <v>94177000</v>
      </c>
      <c r="X123" s="3" t="n">
        <v>0</v>
      </c>
      <c r="Y123" s="3" t="n">
        <v>103838547</v>
      </c>
    </row>
    <row r="124">
      <c r="A124" s="2" t="inlineStr">
        <is>
          <t>23901.0</t>
        </is>
      </c>
      <c r="B124" s="2" t="inlineStr">
        <is>
          <t>FUNDO DE SAÚDE DO DISTRITO FEDERAL</t>
        </is>
      </c>
      <c r="C124" s="2" t="inlineStr">
        <is>
          <t>10.302.6202.4206.0002</t>
        </is>
      </c>
      <c r="D124" s="2" t="inlineStr">
        <is>
          <t>EXECUÇÃO DE CONTRATOS DE GESTÃO-HOSPITAL DA CRIANÇA DE BRASÍLIA JOSÉ ALENCAR - HCB-DISTRITO FEDERAL</t>
        </is>
      </c>
      <c r="E124" s="2" t="inlineStr">
        <is>
          <t>445085</t>
        </is>
      </c>
      <c r="F124" s="2" t="inlineStr">
        <is>
          <t>739000000</t>
        </is>
      </c>
      <c r="G124" s="2" t="inlineStr">
        <is>
          <t>0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17579675</v>
      </c>
      <c r="S124" s="3" t="n">
        <v>0</v>
      </c>
      <c r="T124" s="3" t="n">
        <v>0</v>
      </c>
      <c r="U124" s="3" t="n">
        <v>17579675</v>
      </c>
      <c r="V124" s="3" t="n">
        <v>559000</v>
      </c>
      <c r="W124" s="3" t="n">
        <v>0</v>
      </c>
      <c r="X124" s="3" t="n">
        <v>17020675</v>
      </c>
      <c r="Y124" s="3" t="n">
        <v>17579675</v>
      </c>
    </row>
    <row r="125">
      <c r="A125" s="2" t="inlineStr">
        <is>
          <t>26205.0</t>
        </is>
      </c>
      <c r="B125" s="2" t="inlineStr">
        <is>
          <t>DEPARTAMENTO DE ESTRADAS DE RODAGEM</t>
        </is>
      </c>
      <c r="C125" s="2" t="inlineStr">
        <is>
          <t>26.782.6216.2885.0001</t>
        </is>
      </c>
      <c r="D125" s="2" t="inlineStr">
        <is>
          <t>MANUTENÇÃO DE MÁQUINAS E EQUIPAMENTOS-LEVES E PESADOS - DER-DF-DISTRITO FEDERAL</t>
        </is>
      </c>
      <c r="E125" s="2" t="inlineStr">
        <is>
          <t>339039</t>
        </is>
      </c>
      <c r="F125" s="2" t="inlineStr">
        <is>
          <t>437000000</t>
        </is>
      </c>
      <c r="G125" s="2" t="inlineStr">
        <is>
          <t>0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100000</v>
      </c>
      <c r="S125" s="3" t="n">
        <v>0</v>
      </c>
      <c r="T125" s="3" t="n">
        <v>0</v>
      </c>
      <c r="U125" s="3" t="n">
        <v>100000</v>
      </c>
      <c r="V125" s="3" t="n">
        <v>100000</v>
      </c>
      <c r="W125" s="3" t="n">
        <v>100000</v>
      </c>
      <c r="X125" s="3" t="n">
        <v>0</v>
      </c>
      <c r="Y125" s="3" t="n">
        <v>100000</v>
      </c>
    </row>
    <row r="126">
      <c r="A126" s="2" t="inlineStr">
        <is>
          <t>23901.0</t>
        </is>
      </c>
      <c r="B126" s="2" t="inlineStr">
        <is>
          <t>FUNDO DE SAÚDE DO DISTRITO FEDERAL</t>
        </is>
      </c>
      <c r="C126" s="2" t="inlineStr">
        <is>
          <t>10.302.6202.4206.0001</t>
        </is>
      </c>
      <c r="D126" s="2" t="inlineStr">
        <is>
          <t>EXECUÇÃO DE CONTRATOS DE GESTÃO - INSTITUTO DE GESTÃO ESTRATÉGICA DE SAÚDE DO DISTRITO FEDERAL - DISTRITO FEDERAL</t>
        </is>
      </c>
      <c r="E126" s="2" t="inlineStr">
        <is>
          <t>445085</t>
        </is>
      </c>
      <c r="F126" s="2" t="inlineStr">
        <is>
          <t>100000000</t>
        </is>
      </c>
      <c r="G126" s="2" t="inlineStr">
        <is>
          <t>0</t>
        </is>
      </c>
      <c r="H126" s="3" t="n">
        <v>0</v>
      </c>
      <c r="I126" s="3" t="n">
        <v>38856250</v>
      </c>
      <c r="J126" s="3" t="n">
        <v>0</v>
      </c>
      <c r="K126" s="3" t="n">
        <v>0</v>
      </c>
      <c r="L126" s="3" t="n">
        <v>38856250</v>
      </c>
      <c r="M126" s="3" t="n">
        <v>38856250</v>
      </c>
      <c r="N126" s="3" t="n">
        <v>35512111.92</v>
      </c>
      <c r="O126" s="3" t="n">
        <v>0</v>
      </c>
      <c r="P126" s="3" t="n">
        <v>38856250</v>
      </c>
      <c r="Q126" s="3" t="n">
        <v>0</v>
      </c>
      <c r="R126" s="3" t="n">
        <v>121080090</v>
      </c>
      <c r="S126" s="3" t="n">
        <v>0</v>
      </c>
      <c r="T126" s="3" t="n">
        <v>0</v>
      </c>
      <c r="U126" s="3" t="n">
        <v>121080090</v>
      </c>
      <c r="V126" s="3" t="n">
        <v>121080089.17</v>
      </c>
      <c r="W126" s="3" t="n">
        <v>57934194.84</v>
      </c>
      <c r="X126" s="3" t="n">
        <v>0.83</v>
      </c>
      <c r="Y126" s="3" t="n">
        <v>121080090</v>
      </c>
    </row>
    <row r="127">
      <c r="A127" s="2" t="inlineStr">
        <is>
          <t>19101.0</t>
        </is>
      </c>
      <c r="B127" s="2" t="inlineStr">
        <is>
          <t xml:space="preserve">SECRETARIA DE ESTADO DE ECONOMIA  DO DISTRITO FEDERAL                                                                                                 </t>
        </is>
      </c>
      <c r="C127" s="2" t="inlineStr">
        <is>
          <t>04.122.8203.2990.0006</t>
        </is>
      </c>
      <c r="D127" s="2" t="inlineStr">
        <is>
          <t>MANUTENÇÃO DE BENS IMÓVEIS DO GDF-VIGILÂNCIA-DISTRITO FEDERAL</t>
        </is>
      </c>
      <c r="E127" s="2" t="inlineStr">
        <is>
          <t>339037</t>
        </is>
      </c>
      <c r="F127" s="2" t="inlineStr">
        <is>
          <t>183000000</t>
        </is>
      </c>
      <c r="G127" s="2" t="inlineStr">
        <is>
          <t>0</t>
        </is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66339189</v>
      </c>
      <c r="R127" s="3" t="n">
        <v>-6314758</v>
      </c>
      <c r="S127" s="3" t="n">
        <v>0</v>
      </c>
      <c r="T127" s="3" t="n">
        <v>0</v>
      </c>
      <c r="U127" s="3" t="n">
        <v>60024431</v>
      </c>
      <c r="V127" s="3" t="n">
        <v>60024431</v>
      </c>
      <c r="W127" s="3" t="n">
        <v>60024431</v>
      </c>
      <c r="X127" s="3" t="n">
        <v>0</v>
      </c>
      <c r="Y127" s="3" t="n">
        <v>60024431</v>
      </c>
    </row>
    <row r="128">
      <c r="A128" s="2" t="inlineStr">
        <is>
          <t>22214.0</t>
        </is>
      </c>
      <c r="B128" s="2" t="inlineStr">
        <is>
          <t xml:space="preserve">SERVIÇO DE LIMPEZA URBANA </t>
        </is>
      </c>
      <c r="C128" s="2" t="inlineStr">
        <is>
          <t>15.452.6209.2079.6118</t>
        </is>
      </c>
      <c r="D128" s="2" t="inlineStr">
        <is>
          <t>MANUTENÇÃO DAS ATIVIDADES DE LIMPEZA PÚBLICA--DISTRITO FEDERAL</t>
        </is>
      </c>
      <c r="E128" s="2" t="inlineStr">
        <is>
          <t>339032</t>
        </is>
      </c>
      <c r="F128" s="2" t="inlineStr">
        <is>
          <t>220000000</t>
        </is>
      </c>
      <c r="G128" s="2" t="inlineStr">
        <is>
          <t>0</t>
        </is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372720</v>
      </c>
      <c r="S128" s="3" t="n">
        <v>0</v>
      </c>
      <c r="T128" s="3" t="n">
        <v>0</v>
      </c>
      <c r="U128" s="3" t="n">
        <v>372720</v>
      </c>
      <c r="V128" s="3" t="n">
        <v>0</v>
      </c>
      <c r="W128" s="3" t="n">
        <v>0</v>
      </c>
      <c r="X128" s="3" t="n">
        <v>372720</v>
      </c>
      <c r="Y128" s="3" t="n">
        <v>372720</v>
      </c>
    </row>
    <row r="129">
      <c r="A129" s="2" t="inlineStr">
        <is>
          <t>23901.0</t>
        </is>
      </c>
      <c r="B129" s="2" t="inlineStr">
        <is>
          <t>FUNDO DE SAÚDE DO DISTRITO FEDERAL</t>
        </is>
      </c>
      <c r="C129" s="2" t="inlineStr">
        <is>
          <t>10.302.6202.4206.0001</t>
        </is>
      </c>
      <c r="D129" s="2" t="inlineStr">
        <is>
          <t>EXECUÇÃO DE CONTRATOS DE GESTÃO - INSTITUTO DE GESTÃO ESTRATÉGICA DE SAÚDE DO DISTRITO FEDERAL - DISTRITO FEDERAL</t>
        </is>
      </c>
      <c r="E129" s="2" t="inlineStr">
        <is>
          <t>335085</t>
        </is>
      </c>
      <c r="F129" s="2" t="inlineStr">
        <is>
          <t>101000000</t>
        </is>
      </c>
      <c r="G129" s="2" t="inlineStr">
        <is>
          <t>0</t>
        </is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104756073</v>
      </c>
      <c r="S129" s="3" t="n">
        <v>0</v>
      </c>
      <c r="T129" s="3" t="n">
        <v>0</v>
      </c>
      <c r="U129" s="3" t="n">
        <v>104756073</v>
      </c>
      <c r="V129" s="3" t="n">
        <v>104756073</v>
      </c>
      <c r="W129" s="3" t="n">
        <v>104756073</v>
      </c>
      <c r="X129" s="3" t="n">
        <v>0</v>
      </c>
      <c r="Y129" s="3" t="n">
        <v>104756073</v>
      </c>
    </row>
    <row r="130">
      <c r="A130" s="2" t="inlineStr">
        <is>
          <t>22214.0</t>
        </is>
      </c>
      <c r="B130" s="2" t="inlineStr">
        <is>
          <t xml:space="preserve">SERVIÇO DE LIMPEZA URBANA </t>
        </is>
      </c>
      <c r="C130" s="2" t="inlineStr">
        <is>
          <t>15.452.6209.2079.6118</t>
        </is>
      </c>
      <c r="D130" s="2" t="inlineStr">
        <is>
          <t>MANUTENÇÃO DAS ATIVIDADES DE LIMPEZA PÚBLICA--DISTRITO FEDERAL</t>
        </is>
      </c>
      <c r="E130" s="2" t="inlineStr">
        <is>
          <t>339039</t>
        </is>
      </c>
      <c r="F130" s="2" t="inlineStr">
        <is>
          <t>220000000</t>
        </is>
      </c>
      <c r="G130" s="2" t="inlineStr">
        <is>
          <t>0</t>
        </is>
      </c>
      <c r="H130" s="3" t="n">
        <v>3000000</v>
      </c>
      <c r="I130" s="3" t="n">
        <v>7715547</v>
      </c>
      <c r="J130" s="3" t="n">
        <v>0</v>
      </c>
      <c r="K130" s="3" t="n">
        <v>0</v>
      </c>
      <c r="L130" s="3" t="n">
        <v>10715547</v>
      </c>
      <c r="M130" s="3" t="n">
        <v>10710426.52</v>
      </c>
      <c r="N130" s="3" t="n">
        <v>10582468.53</v>
      </c>
      <c r="O130" s="3" t="n">
        <v>5120.48</v>
      </c>
      <c r="P130" s="3" t="n">
        <v>10715547</v>
      </c>
      <c r="Q130" s="3" t="n">
        <v>3000000</v>
      </c>
      <c r="R130" s="3" t="n">
        <v>-2758000</v>
      </c>
      <c r="S130" s="3" t="n">
        <v>0</v>
      </c>
      <c r="T130" s="3" t="n">
        <v>0</v>
      </c>
      <c r="U130" s="3" t="n">
        <v>242000</v>
      </c>
      <c r="V130" s="3" t="n">
        <v>241828.61</v>
      </c>
      <c r="W130" s="3" t="n">
        <v>241828.61</v>
      </c>
      <c r="X130" s="3" t="n">
        <v>171.39</v>
      </c>
      <c r="Y130" s="3" t="n">
        <v>242000</v>
      </c>
    </row>
    <row r="131">
      <c r="A131" s="2" t="inlineStr">
        <is>
          <t>26206.0</t>
        </is>
      </c>
      <c r="B131" s="2" t="inlineStr">
        <is>
          <t>COMPANHIA DO METROPOLITANO DO DISTRITO FEDERAL</t>
        </is>
      </c>
      <c r="C131" s="2" t="inlineStr">
        <is>
          <t>26.453.6216.2756.6137</t>
        </is>
      </c>
      <c r="D131" s="2" t="inlineStr">
        <is>
          <t>MANUTENÇÃO E FUNCIONAMENTO DO SISTEMA FERROVIÁRIO-DF</t>
        </is>
      </c>
      <c r="E131" s="2" t="inlineStr">
        <is>
          <t>339039</t>
        </is>
      </c>
      <c r="F131" s="2" t="inlineStr">
        <is>
          <t>183000000</t>
        </is>
      </c>
      <c r="G131" s="2" t="inlineStr">
        <is>
          <t>0</t>
        </is>
      </c>
      <c r="H131" s="3" t="n">
        <v>35524656</v>
      </c>
      <c r="I131" s="3" t="n">
        <v>-9706765.84</v>
      </c>
      <c r="J131" s="3" t="n">
        <v>0.89</v>
      </c>
      <c r="K131" s="3" t="n">
        <v>0</v>
      </c>
      <c r="L131" s="3" t="n">
        <v>25817889.27</v>
      </c>
      <c r="M131" s="3" t="n">
        <v>25817889.27</v>
      </c>
      <c r="N131" s="3" t="n">
        <v>25540357.05</v>
      </c>
      <c r="O131" s="3" t="n">
        <v>0</v>
      </c>
      <c r="P131" s="3" t="n">
        <v>25817890.16</v>
      </c>
      <c r="Q131" s="3" t="n">
        <v>27083670</v>
      </c>
      <c r="R131" s="3" t="n">
        <v>-3088370.7</v>
      </c>
      <c r="S131" s="3" t="n">
        <v>0.9</v>
      </c>
      <c r="T131" s="3" t="n">
        <v>0.89</v>
      </c>
      <c r="U131" s="3" t="n">
        <v>23995297.51</v>
      </c>
      <c r="V131" s="3" t="n">
        <v>6488845.51</v>
      </c>
      <c r="W131" s="3" t="n">
        <v>6488845.51</v>
      </c>
      <c r="X131" s="3" t="n">
        <v>17506452</v>
      </c>
      <c r="Y131" s="3" t="n">
        <v>23995299.3</v>
      </c>
    </row>
    <row r="132">
      <c r="A132" s="2" t="inlineStr">
        <is>
          <t>22214.0</t>
        </is>
      </c>
      <c r="B132" s="2" t="inlineStr">
        <is>
          <t xml:space="preserve">SERVIÇO DE LIMPEZA URBANA </t>
        </is>
      </c>
      <c r="C132" s="2" t="inlineStr">
        <is>
          <t>15.452.6209.2079.6118</t>
        </is>
      </c>
      <c r="D132" s="2" t="inlineStr">
        <is>
          <t>MANUTENÇÃO DAS ATIVIDADES DE LIMPEZA PÚBLICA--DISTRITO FEDERAL</t>
        </is>
      </c>
      <c r="E132" s="2" t="inlineStr">
        <is>
          <t>339035</t>
        </is>
      </c>
      <c r="F132" s="2" t="inlineStr">
        <is>
          <t>100000000</t>
        </is>
      </c>
      <c r="G132" s="2" t="inlineStr">
        <is>
          <t>0</t>
        </is>
      </c>
      <c r="H132" s="3" t="n">
        <v>0</v>
      </c>
      <c r="I132" s="3" t="n">
        <v>600000</v>
      </c>
      <c r="J132" s="3" t="n">
        <v>0</v>
      </c>
      <c r="K132" s="3" t="n">
        <v>0</v>
      </c>
      <c r="L132" s="3" t="n">
        <v>600000</v>
      </c>
      <c r="M132" s="3" t="n">
        <v>600000</v>
      </c>
      <c r="N132" s="3" t="n">
        <v>600000</v>
      </c>
      <c r="O132" s="3" t="n">
        <v>0</v>
      </c>
      <c r="P132" s="3" t="n">
        <v>600000</v>
      </c>
      <c r="Q132" s="3" t="n">
        <v>0</v>
      </c>
      <c r="R132" s="3" t="n">
        <v>2325000</v>
      </c>
      <c r="S132" s="3" t="n">
        <v>0</v>
      </c>
      <c r="T132" s="3" t="n">
        <v>0</v>
      </c>
      <c r="U132" s="3" t="n">
        <v>2325000</v>
      </c>
      <c r="V132" s="3" t="n">
        <v>2325000</v>
      </c>
      <c r="W132" s="3" t="n">
        <v>2000000</v>
      </c>
      <c r="X132" s="3" t="n">
        <v>0</v>
      </c>
      <c r="Y132" s="3" t="n">
        <v>2325000</v>
      </c>
    </row>
    <row r="133">
      <c r="A133" s="2" t="inlineStr">
        <is>
          <t>19101.0</t>
        </is>
      </c>
      <c r="B133" s="2" t="inlineStr">
        <is>
          <t xml:space="preserve">SECRETARIA DE ESTADO DE ECONOMIA  DO DISTRITO FEDERAL                                                                                                 </t>
        </is>
      </c>
      <c r="C133" s="2" t="inlineStr">
        <is>
          <t>04.122.8203.2990.0008</t>
        </is>
      </c>
      <c r="D133" s="2" t="inlineStr">
        <is>
          <t>MANUTENÇÃO DE BENS IMÓVEIS DO GDF-LIMPEZA-DISTRITO FEDERAL</t>
        </is>
      </c>
      <c r="E133" s="2" t="inlineStr">
        <is>
          <t>339039</t>
        </is>
      </c>
      <c r="F133" s="2" t="inlineStr">
        <is>
          <t>178000000</t>
        </is>
      </c>
      <c r="G133" s="2" t="inlineStr">
        <is>
          <t>0</t>
        </is>
      </c>
      <c r="H133" s="3" t="n">
        <v>50000000</v>
      </c>
      <c r="I133" s="3" t="n">
        <v>0</v>
      </c>
      <c r="J133" s="3" t="n">
        <v>0</v>
      </c>
      <c r="K133" s="3" t="n">
        <v>0</v>
      </c>
      <c r="L133" s="3" t="n">
        <v>50000000</v>
      </c>
      <c r="M133" s="3" t="n">
        <v>49999999.99</v>
      </c>
      <c r="N133" s="3" t="n">
        <v>49999999.99</v>
      </c>
      <c r="O133" s="3" t="n">
        <v>0.01</v>
      </c>
      <c r="P133" s="3" t="n">
        <v>50000000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</row>
    <row r="134">
      <c r="A134" s="2" t="inlineStr">
        <is>
          <t>22201.0</t>
        </is>
      </c>
      <c r="B134" s="2" t="inlineStr">
        <is>
          <t xml:space="preserve">COMPANHIA URBANIZADORA DA NOVA CAPITAL </t>
        </is>
      </c>
      <c r="C134" s="2" t="inlineStr">
        <is>
          <t>15.452.6209.8508.0002</t>
        </is>
      </c>
      <c r="D134" s="2" t="inlineStr">
        <is>
          <t>MANUTENÇÃO DE ÁREAS URBANIZADAS E AJARDINADAS-MANUTENÇÃO DE VIAS PÚBLICAS-DISTRITO FEDERAL</t>
        </is>
      </c>
      <c r="E134" s="2" t="inlineStr">
        <is>
          <t>339030</t>
        </is>
      </c>
      <c r="F134" s="2" t="inlineStr">
        <is>
          <t>161000000</t>
        </is>
      </c>
      <c r="G134" s="2" t="inlineStr">
        <is>
          <t>0</t>
        </is>
      </c>
      <c r="H134" s="3" t="n">
        <v>0</v>
      </c>
      <c r="I134" s="3" t="n">
        <v>1973710.32</v>
      </c>
      <c r="J134" s="3" t="n">
        <v>0</v>
      </c>
      <c r="K134" s="3" t="n">
        <v>0</v>
      </c>
      <c r="L134" s="3" t="n">
        <v>1973710.32</v>
      </c>
      <c r="M134" s="3" t="n">
        <v>1972905.44</v>
      </c>
      <c r="N134" s="3" t="n">
        <v>1972905.44</v>
      </c>
      <c r="O134" s="3" t="n">
        <v>804.88</v>
      </c>
      <c r="P134" s="3" t="n">
        <v>1973710.32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</row>
    <row r="135">
      <c r="A135" s="2" t="inlineStr">
        <is>
          <t>26206.0</t>
        </is>
      </c>
      <c r="B135" s="2" t="inlineStr">
        <is>
          <t>COMPANHIA DO METROPOLITANO DO DISTRITO FEDERAL</t>
        </is>
      </c>
      <c r="C135" s="2" t="inlineStr">
        <is>
          <t>26.453.6216.2756.6137</t>
        </is>
      </c>
      <c r="D135" s="2" t="inlineStr">
        <is>
          <t>MANUTENÇÃO E FUNCIONAMENTO DO SISTEMA FERROVIÁRIO-DF</t>
        </is>
      </c>
      <c r="E135" s="2" t="inlineStr">
        <is>
          <t>339034</t>
        </is>
      </c>
      <c r="F135" s="2" t="inlineStr">
        <is>
          <t>183000000</t>
        </is>
      </c>
      <c r="G135" s="2" t="inlineStr">
        <is>
          <t>0</t>
        </is>
      </c>
      <c r="H135" s="3" t="n">
        <v>0</v>
      </c>
      <c r="I135" s="3" t="n">
        <v>139412.36</v>
      </c>
      <c r="J135" s="3" t="n">
        <v>0</v>
      </c>
      <c r="K135" s="3" t="n">
        <v>0</v>
      </c>
      <c r="L135" s="3" t="n">
        <v>139412.36</v>
      </c>
      <c r="M135" s="3" t="n">
        <v>139412.36</v>
      </c>
      <c r="N135" s="3" t="n">
        <v>139412.36</v>
      </c>
      <c r="O135" s="3" t="n">
        <v>0</v>
      </c>
      <c r="P135" s="3" t="n">
        <v>139412.36</v>
      </c>
      <c r="Q135" s="3" t="n">
        <v>0</v>
      </c>
      <c r="R135" s="3" t="n">
        <v>234212.7</v>
      </c>
      <c r="S135" s="3" t="n">
        <v>0</v>
      </c>
      <c r="T135" s="3" t="n">
        <v>0</v>
      </c>
      <c r="U135" s="3" t="n">
        <v>234212.7</v>
      </c>
      <c r="V135" s="3" t="n">
        <v>234212.7</v>
      </c>
      <c r="W135" s="3" t="n">
        <v>234212.7</v>
      </c>
      <c r="X135" s="3" t="n">
        <v>0</v>
      </c>
      <c r="Y135" s="3" t="n">
        <v>234212.7</v>
      </c>
    </row>
    <row r="136">
      <c r="A136" s="2" t="inlineStr">
        <is>
          <t>26205.0</t>
        </is>
      </c>
      <c r="B136" s="2" t="inlineStr">
        <is>
          <t>DEPARTAMENTO DE ESTRADAS DE RODAGEM</t>
        </is>
      </c>
      <c r="C136" s="2" t="inlineStr">
        <is>
          <t>26.782.6216.2885.0001</t>
        </is>
      </c>
      <c r="D136" s="2" t="inlineStr">
        <is>
          <t>MANUTENÇÃO DE MÁQUINAS E EQUIPAMENTOS-LEVES E PESADOS - DER-DF-DISTRITO FEDERAL</t>
        </is>
      </c>
      <c r="E136" s="2" t="inlineStr">
        <is>
          <t>339039</t>
        </is>
      </c>
      <c r="F136" s="2" t="inlineStr">
        <is>
          <t>161000000</t>
        </is>
      </c>
      <c r="G136" s="2" t="inlineStr">
        <is>
          <t>0</t>
        </is>
      </c>
      <c r="H136" s="3" t="n">
        <v>2000000</v>
      </c>
      <c r="I136" s="3" t="n">
        <v>-960000</v>
      </c>
      <c r="J136" s="3" t="n">
        <v>0</v>
      </c>
      <c r="K136" s="3" t="n">
        <v>0</v>
      </c>
      <c r="L136" s="3" t="n">
        <v>1040000</v>
      </c>
      <c r="M136" s="3" t="n">
        <v>1040000</v>
      </c>
      <c r="N136" s="3" t="n">
        <v>1040000</v>
      </c>
      <c r="O136" s="3" t="n">
        <v>0</v>
      </c>
      <c r="P136" s="3" t="n">
        <v>1040000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</row>
    <row r="137">
      <c r="A137" s="2" t="inlineStr">
        <is>
          <t>23901.0</t>
        </is>
      </c>
      <c r="B137" s="2" t="inlineStr">
        <is>
          <t>FUNDO DE SAÚDE DO DISTRITO FEDERAL</t>
        </is>
      </c>
      <c r="C137" s="2" t="inlineStr">
        <is>
          <t>10.302.6202.4206.0001</t>
        </is>
      </c>
      <c r="D137" s="2" t="inlineStr">
        <is>
          <t>EXECUÇÃO DE CONTRATOS DE GESTÃO - INSTITUTO DE GESTÃO ESTRATÉGICA DE SAÚDE DO DISTRITO FEDERAL - DISTRITO FEDERAL</t>
        </is>
      </c>
      <c r="E137" s="2" t="inlineStr">
        <is>
          <t>335085</t>
        </is>
      </c>
      <c r="F137" s="2" t="inlineStr">
        <is>
          <t>138000000</t>
        </is>
      </c>
      <c r="G137" s="2" t="inlineStr">
        <is>
          <t>0</t>
        </is>
      </c>
      <c r="H137" s="3" t="n">
        <v>36152992</v>
      </c>
      <c r="I137" s="3" t="n">
        <v>13306067</v>
      </c>
      <c r="J137" s="3" t="n">
        <v>0</v>
      </c>
      <c r="K137" s="3" t="n">
        <v>0</v>
      </c>
      <c r="L137" s="3" t="n">
        <v>49459059</v>
      </c>
      <c r="M137" s="3" t="n">
        <v>49459059</v>
      </c>
      <c r="N137" s="3" t="n">
        <v>49459059</v>
      </c>
      <c r="O137" s="3" t="n">
        <v>0</v>
      </c>
      <c r="P137" s="3" t="n">
        <v>49459059</v>
      </c>
      <c r="Q137" s="3" t="n">
        <v>43996644</v>
      </c>
      <c r="R137" s="3" t="n">
        <v>8316203</v>
      </c>
      <c r="S137" s="3" t="n">
        <v>0</v>
      </c>
      <c r="T137" s="3" t="n">
        <v>0</v>
      </c>
      <c r="U137" s="3" t="n">
        <v>52312847</v>
      </c>
      <c r="V137" s="3" t="n">
        <v>52302847</v>
      </c>
      <c r="W137" s="3" t="n">
        <v>52302847</v>
      </c>
      <c r="X137" s="3" t="n">
        <v>10000</v>
      </c>
      <c r="Y137" s="3" t="n">
        <v>52312847</v>
      </c>
    </row>
    <row r="138">
      <c r="A138" s="2" t="inlineStr">
        <is>
          <t>23901.0</t>
        </is>
      </c>
      <c r="B138" s="2" t="inlineStr">
        <is>
          <t>FUNDO DE SAÚDE DO DISTRITO FEDERAL</t>
        </is>
      </c>
      <c r="C138" s="2" t="inlineStr">
        <is>
          <t>10.302.6202.4206.0001</t>
        </is>
      </c>
      <c r="D138" s="2" t="inlineStr">
        <is>
          <t>EXECUÇÃO DE CONTRATOS DE GESTÃO - INSTITUTO DE GESTÃO ESTRATÉGICA DE SAÚDE DO DISTRITO FEDERAL - DISTRITO FEDERAL</t>
        </is>
      </c>
      <c r="E138" s="2" t="inlineStr">
        <is>
          <t>335092</t>
        </is>
      </c>
      <c r="F138" s="2" t="inlineStr">
        <is>
          <t>100000000</t>
        </is>
      </c>
      <c r="G138" s="2" t="inlineStr">
        <is>
          <t>0</t>
        </is>
      </c>
      <c r="H138" s="3" t="n">
        <v>0</v>
      </c>
      <c r="I138" s="3" t="n">
        <v>27368288</v>
      </c>
      <c r="J138" s="3" t="n">
        <v>0.36</v>
      </c>
      <c r="K138" s="3" t="n">
        <v>0</v>
      </c>
      <c r="L138" s="3" t="n">
        <v>27368287.64</v>
      </c>
      <c r="M138" s="3" t="n">
        <v>27368287.05</v>
      </c>
      <c r="N138" s="3" t="n">
        <v>27368287.05</v>
      </c>
      <c r="O138" s="3" t="n">
        <v>0.59</v>
      </c>
      <c r="P138" s="3" t="n">
        <v>27368288</v>
      </c>
      <c r="Q138" s="3" t="n">
        <v>0</v>
      </c>
      <c r="R138" s="3" t="n">
        <v>83966979</v>
      </c>
      <c r="S138" s="3" t="n">
        <v>0</v>
      </c>
      <c r="T138" s="3" t="n">
        <v>0</v>
      </c>
      <c r="U138" s="3" t="n">
        <v>83966979</v>
      </c>
      <c r="V138" s="3" t="n">
        <v>82010874.67</v>
      </c>
      <c r="W138" s="3" t="n">
        <v>82010874.67</v>
      </c>
      <c r="X138" s="3" t="n">
        <v>1956104.33</v>
      </c>
      <c r="Y138" s="3" t="n">
        <v>83966979</v>
      </c>
    </row>
    <row r="139">
      <c r="A139" s="2" t="inlineStr">
        <is>
          <t>17902.0</t>
        </is>
      </c>
      <c r="B139" s="2" t="inlineStr">
        <is>
          <t>FUNDO DE ASSISTÊNCIA SOCIAL DO DISTRITO FEDERAL</t>
        </is>
      </c>
      <c r="C139" s="2" t="inlineStr">
        <is>
          <t>08.245.6228.9071.0003</t>
        </is>
      </c>
      <c r="D139" s="2" t="inlineStr">
        <is>
          <t>(OCA)TRANSFERÊNCIA PARA BLOCO DA PROTEÇÃO SOCIAL BÁSICA - TRANSFERÊNCIA CRIANÇA E ADOLESCENTE - DISTRITO FEDERAL</t>
        </is>
      </c>
      <c r="E139" s="2" t="inlineStr">
        <is>
          <t>335043</t>
        </is>
      </c>
      <c r="F139" s="2" t="inlineStr">
        <is>
          <t>100000000</t>
        </is>
      </c>
      <c r="G139" s="2" t="inlineStr">
        <is>
          <t>0</t>
        </is>
      </c>
      <c r="H139" s="3" t="n">
        <v>12000000</v>
      </c>
      <c r="I139" s="3" t="n">
        <v>4550619.75</v>
      </c>
      <c r="J139" s="3" t="n">
        <v>0</v>
      </c>
      <c r="K139" s="3" t="n">
        <v>0</v>
      </c>
      <c r="L139" s="3" t="n">
        <v>16550619.75</v>
      </c>
      <c r="M139" s="3" t="n">
        <v>16550619.47</v>
      </c>
      <c r="N139" s="3" t="n">
        <v>16513003.7</v>
      </c>
      <c r="O139" s="3" t="n">
        <v>0.28</v>
      </c>
      <c r="P139" s="3" t="n">
        <v>16550619.75</v>
      </c>
      <c r="Q139" s="3" t="n">
        <v>10785640</v>
      </c>
      <c r="R139" s="3" t="n">
        <v>5491719</v>
      </c>
      <c r="S139" s="3" t="n">
        <v>0</v>
      </c>
      <c r="T139" s="3" t="n">
        <v>0</v>
      </c>
      <c r="U139" s="3" t="n">
        <v>16277359</v>
      </c>
      <c r="V139" s="3" t="n">
        <v>16277123.74</v>
      </c>
      <c r="W139" s="3" t="n">
        <v>15751557.47</v>
      </c>
      <c r="X139" s="3" t="n">
        <v>235.26</v>
      </c>
      <c r="Y139" s="3" t="n">
        <v>16277359</v>
      </c>
    </row>
    <row r="140">
      <c r="A140" s="2" t="inlineStr">
        <is>
          <t>17902.0</t>
        </is>
      </c>
      <c r="B140" s="2" t="inlineStr">
        <is>
          <t>FUNDO DE ASSISTÊNCIA SOCIAL DO DISTRITO FEDERAL</t>
        </is>
      </c>
      <c r="C140" s="2" t="inlineStr">
        <is>
          <t>08.245.6228.9073.0003</t>
        </is>
      </c>
      <c r="D140" s="2" t="inlineStr">
        <is>
          <t>TRANSFERÊNCIA PARA BLOCO DA PROTEÇÃO SOCIAL ESPECI - TRANSFERÊNCIA DEMAIS INDIVÍDUOS E FAMÍLIA - DISTRITO FEDERAL</t>
        </is>
      </c>
      <c r="E140" s="2" t="inlineStr">
        <is>
          <t>335043</t>
        </is>
      </c>
      <c r="F140" s="2" t="inlineStr">
        <is>
          <t>100000000</t>
        </is>
      </c>
      <c r="G140" s="2" t="inlineStr">
        <is>
          <t>0</t>
        </is>
      </c>
      <c r="H140" s="3" t="n">
        <v>37948676</v>
      </c>
      <c r="I140" s="3" t="n">
        <v>55712320</v>
      </c>
      <c r="J140" s="3" t="n">
        <v>0.93</v>
      </c>
      <c r="K140" s="3" t="n">
        <v>0</v>
      </c>
      <c r="L140" s="3" t="n">
        <v>93660995.06999999</v>
      </c>
      <c r="M140" s="3" t="n">
        <v>93660995.06999999</v>
      </c>
      <c r="N140" s="3" t="n">
        <v>93458342.45</v>
      </c>
      <c r="O140" s="3" t="n">
        <v>0</v>
      </c>
      <c r="P140" s="3" t="n">
        <v>93660996</v>
      </c>
      <c r="Q140" s="3" t="n">
        <v>70525400</v>
      </c>
      <c r="R140" s="3" t="n">
        <v>18351666</v>
      </c>
      <c r="S140" s="3" t="n">
        <v>0</v>
      </c>
      <c r="T140" s="3" t="n">
        <v>0</v>
      </c>
      <c r="U140" s="3" t="n">
        <v>84663066</v>
      </c>
      <c r="V140" s="3" t="n">
        <v>84493818.88</v>
      </c>
      <c r="W140" s="3" t="n">
        <v>81628790.02</v>
      </c>
      <c r="X140" s="3" t="n">
        <v>169247.12</v>
      </c>
      <c r="Y140" s="3" t="n">
        <v>88877066</v>
      </c>
    </row>
    <row r="141">
      <c r="A141" s="2" t="inlineStr">
        <is>
          <t>17101.0</t>
        </is>
      </c>
      <c r="B141" s="2" t="inlineStr">
        <is>
          <t xml:space="preserve">SECRETARIA DE ESTADO DE DESENVOLVIMENTO  SOCIAL DO DISTRITO FEDERAL                                                                                   </t>
        </is>
      </c>
      <c r="C141" s="2" t="inlineStr">
        <is>
          <t>08.244.6228.4272.0001</t>
        </is>
      </c>
      <c r="D141" s="2" t="inlineStr">
        <is>
          <t>FORNECIMENTO EMERGENCIAL DE ALIMENTOS-- SETOR COMPL. DE IND. E ABASTECIMENTO</t>
        </is>
      </c>
      <c r="E141" s="2" t="inlineStr">
        <is>
          <t>339032</t>
        </is>
      </c>
      <c r="F141" s="2" t="inlineStr">
        <is>
          <t>100000000</t>
        </is>
      </c>
      <c r="G141" s="2" t="inlineStr">
        <is>
          <t>0</t>
        </is>
      </c>
      <c r="H141" s="3" t="n">
        <v>0</v>
      </c>
      <c r="I141" s="3" t="n">
        <v>6122664.24</v>
      </c>
      <c r="J141" s="3" t="n">
        <v>0</v>
      </c>
      <c r="K141" s="3" t="n">
        <v>0</v>
      </c>
      <c r="L141" s="3" t="n">
        <v>6122664.24</v>
      </c>
      <c r="M141" s="3" t="n">
        <v>6122663.96</v>
      </c>
      <c r="N141" s="3" t="n">
        <v>5924958.35</v>
      </c>
      <c r="O141" s="3" t="n">
        <v>0.28</v>
      </c>
      <c r="P141" s="3" t="n">
        <v>6122664.24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</row>
    <row r="142">
      <c r="A142" s="2" t="inlineStr">
        <is>
          <t>26101.0</t>
        </is>
      </c>
      <c r="B142" s="2" t="inlineStr">
        <is>
          <t>SECRETARIA DE ESTADO DE TRANSPORTE E MOBILIDADE DO DISTRITO FEDERAL</t>
        </is>
      </c>
      <c r="C142" s="2" t="inlineStr">
        <is>
          <t>26.453.6216.4202.0002</t>
        </is>
      </c>
      <c r="D142" s="2" t="inlineStr">
        <is>
          <t>CONCESSÃO DE PASSE LIVRE-PORTADORES DE NECESSIDADES ESPECIAIS PNE-DISTRITO FEDERAL</t>
        </is>
      </c>
      <c r="E142" s="2" t="inlineStr">
        <is>
          <t>339148</t>
        </is>
      </c>
      <c r="F142" s="2" t="inlineStr">
        <is>
          <t>100000000</t>
        </is>
      </c>
      <c r="G142" s="2" t="inlineStr">
        <is>
          <t>0</t>
        </is>
      </c>
      <c r="H142" s="3" t="n">
        <v>11167085</v>
      </c>
      <c r="I142" s="3" t="n">
        <v>-8974938.07</v>
      </c>
      <c r="J142" s="3" t="n">
        <v>0</v>
      </c>
      <c r="K142" s="3" t="n">
        <v>0.93</v>
      </c>
      <c r="L142" s="3" t="n">
        <v>2192146</v>
      </c>
      <c r="M142" s="3" t="n">
        <v>2192146</v>
      </c>
      <c r="N142" s="3" t="n">
        <v>2192146</v>
      </c>
      <c r="O142" s="3" t="n">
        <v>0</v>
      </c>
      <c r="P142" s="3" t="n">
        <v>2192146.93</v>
      </c>
      <c r="Q142" s="3" t="n">
        <v>10000000</v>
      </c>
      <c r="R142" s="3" t="n">
        <v>-10000000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</row>
    <row r="143">
      <c r="A143" s="2" t="inlineStr">
        <is>
          <t>22201.0</t>
        </is>
      </c>
      <c r="B143" s="2" t="inlineStr">
        <is>
          <t xml:space="preserve">COMPANHIA URBANIZADORA DA NOVA CAPITAL </t>
        </is>
      </c>
      <c r="C143" s="2" t="inlineStr">
        <is>
          <t>15.452.6209.8508.0002</t>
        </is>
      </c>
      <c r="D143" s="2" t="inlineStr">
        <is>
          <t>MANUTENÇÃO DE ÁREAS URBANIZADAS E AJARDINADAS-MANUTENÇÃO DE VIAS PÚBLICAS-DISTRITO FEDERAL</t>
        </is>
      </c>
      <c r="E143" s="2" t="inlineStr">
        <is>
          <t>339030</t>
        </is>
      </c>
      <c r="F143" s="2" t="inlineStr">
        <is>
          <t>100000000</t>
        </is>
      </c>
      <c r="G143" s="2" t="inlineStr">
        <is>
          <t>0</t>
        </is>
      </c>
      <c r="H143" s="3" t="n">
        <v>42000000</v>
      </c>
      <c r="I143" s="3" t="n">
        <v>-21186400.75</v>
      </c>
      <c r="J143" s="3" t="n">
        <v>0</v>
      </c>
      <c r="K143" s="3" t="n">
        <v>0</v>
      </c>
      <c r="L143" s="3" t="n">
        <v>20813599.25</v>
      </c>
      <c r="M143" s="3" t="n">
        <v>20810783.24</v>
      </c>
      <c r="N143" s="3" t="n">
        <v>20596402.37</v>
      </c>
      <c r="O143" s="3" t="n">
        <v>2816.01</v>
      </c>
      <c r="P143" s="3" t="n">
        <v>20813599.25</v>
      </c>
      <c r="Q143" s="3" t="n">
        <v>0</v>
      </c>
      <c r="R143" s="3" t="n">
        <v>24011102.23</v>
      </c>
      <c r="S143" s="3" t="n">
        <v>0</v>
      </c>
      <c r="T143" s="3" t="n">
        <v>0</v>
      </c>
      <c r="U143" s="3" t="n">
        <v>24011102.23</v>
      </c>
      <c r="V143" s="3" t="n">
        <v>24011102.23</v>
      </c>
      <c r="W143" s="3" t="n">
        <v>16511306.61</v>
      </c>
      <c r="X143" s="3" t="n">
        <v>0</v>
      </c>
      <c r="Y143" s="3" t="n">
        <v>24011102.23</v>
      </c>
    </row>
    <row r="144">
      <c r="A144" s="2" t="inlineStr">
        <is>
          <t>26206.0</t>
        </is>
      </c>
      <c r="B144" s="2" t="inlineStr">
        <is>
          <t>COMPANHIA DO METROPOLITANO DO DISTRITO FEDERAL</t>
        </is>
      </c>
      <c r="C144" s="2" t="inlineStr">
        <is>
          <t>26.453.6216.2756.6137</t>
        </is>
      </c>
      <c r="D144" s="2" t="inlineStr">
        <is>
          <t>MANUTENÇÃO E FUNCIONAMENTO DO SISTEMA FERROVIÁRIO-DF</t>
        </is>
      </c>
      <c r="E144" s="2" t="inlineStr">
        <is>
          <t>449052</t>
        </is>
      </c>
      <c r="F144" s="2" t="inlineStr">
        <is>
          <t>220000000</t>
        </is>
      </c>
      <c r="G144" s="2" t="inlineStr">
        <is>
          <t>0</t>
        </is>
      </c>
      <c r="H144" s="3" t="n">
        <v>1000000</v>
      </c>
      <c r="I144" s="3" t="n">
        <v>0</v>
      </c>
      <c r="J144" s="3" t="n">
        <v>0</v>
      </c>
      <c r="K144" s="3" t="n">
        <v>0</v>
      </c>
      <c r="L144" s="3" t="n">
        <v>1000000</v>
      </c>
      <c r="M144" s="3" t="n">
        <v>22984</v>
      </c>
      <c r="N144" s="3" t="n">
        <v>22984</v>
      </c>
      <c r="O144" s="3" t="n">
        <v>977016</v>
      </c>
      <c r="P144" s="3" t="n">
        <v>1000000</v>
      </c>
      <c r="Q144" s="3" t="n">
        <v>363000</v>
      </c>
      <c r="R144" s="3" t="n">
        <v>-363000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</row>
    <row r="145">
      <c r="A145" s="2" t="inlineStr">
        <is>
          <t>19101.0</t>
        </is>
      </c>
      <c r="B145" s="2" t="inlineStr">
        <is>
          <t xml:space="preserve">SECRETARIA DE ESTADO DE ECONOMIA  DO DISTRITO FEDERAL                                                                                                 </t>
        </is>
      </c>
      <c r="C145" s="2" t="inlineStr">
        <is>
          <t>04.122.8203.2990.0006</t>
        </is>
      </c>
      <c r="D145" s="2" t="inlineStr">
        <is>
          <t>MANUTENÇÃO DE BENS IMÓVEIS DO GDF-VIGILÂNCIA-DISTRITO FEDERAL</t>
        </is>
      </c>
      <c r="E145" s="2" t="inlineStr">
        <is>
          <t>339037</t>
        </is>
      </c>
      <c r="F145" s="2" t="inlineStr">
        <is>
          <t>102000000</t>
        </is>
      </c>
      <c r="G145" s="2" t="inlineStr">
        <is>
          <t>0</t>
        </is>
      </c>
      <c r="H145" s="3" t="n">
        <v>47601654</v>
      </c>
      <c r="I145" s="3" t="n">
        <v>23721000</v>
      </c>
      <c r="J145" s="3" t="n">
        <v>0</v>
      </c>
      <c r="K145" s="3" t="n">
        <v>0</v>
      </c>
      <c r="L145" s="3" t="n">
        <v>71322654</v>
      </c>
      <c r="M145" s="3" t="n">
        <v>71322654</v>
      </c>
      <c r="N145" s="3" t="n">
        <v>71322351.09999999</v>
      </c>
      <c r="O145" s="3" t="n">
        <v>0</v>
      </c>
      <c r="P145" s="3" t="n">
        <v>71322654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</row>
    <row r="146">
      <c r="A146" s="2" t="inlineStr">
        <is>
          <t>17906.0</t>
        </is>
      </c>
      <c r="B146" s="2" t="inlineStr">
        <is>
          <t>FUNDO DE COMBATE E ERRADICAÇÃO DA POBREZA</t>
        </is>
      </c>
      <c r="C146" s="2" t="inlineStr">
        <is>
          <t>08.244.6228.4162.0008</t>
        </is>
      </c>
      <c r="D146" s="2" t="inlineStr">
        <is>
          <t>TRANSFERÊNCIA DE RENDA PARA FAMÍLIAS DO DF CADASTRADAS NO CADÚNICO-FUNDO DE COMBATE E ERRADICAÇÃO DA POBREZA-DISTRITO FEDERAL</t>
        </is>
      </c>
      <c r="E146" s="2" t="inlineStr">
        <is>
          <t>339048</t>
        </is>
      </c>
      <c r="F146" s="2" t="inlineStr">
        <is>
          <t>161000000</t>
        </is>
      </c>
      <c r="G146" s="2" t="inlineStr">
        <is>
          <t>0</t>
        </is>
      </c>
      <c r="H146" s="3" t="n">
        <v>0</v>
      </c>
      <c r="I146" s="3" t="n">
        <v>10314218</v>
      </c>
      <c r="J146" s="3" t="n">
        <v>0</v>
      </c>
      <c r="K146" s="3" t="n">
        <v>0</v>
      </c>
      <c r="L146" s="3" t="n">
        <v>10314218</v>
      </c>
      <c r="M146" s="3" t="n">
        <v>10314218</v>
      </c>
      <c r="N146" s="3" t="n">
        <v>10314218</v>
      </c>
      <c r="O146" s="3" t="n">
        <v>0</v>
      </c>
      <c r="P146" s="3" t="n">
        <v>10314218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</row>
    <row r="147">
      <c r="A147" s="2" t="inlineStr">
        <is>
          <t>17902.0</t>
        </is>
      </c>
      <c r="B147" s="2" t="inlineStr">
        <is>
          <t>FUNDO DE ASSISTÊNCIA SOCIAL DO DISTRITO FEDERAL</t>
        </is>
      </c>
      <c r="C147" s="2" t="inlineStr">
        <is>
          <t>08.245.6228.9073.0003</t>
        </is>
      </c>
      <c r="D147" s="2" t="inlineStr">
        <is>
          <t>TRANSFERÊNCIA PARA BLOCO DA PROTEÇÃO SOCIAL ESPECI - TRANSFERÊNCIA DEMAIS INDIVÍDUOS E FAMÍLIA - DISTRITO FEDERAL</t>
        </is>
      </c>
      <c r="E147" s="2" t="inlineStr">
        <is>
          <t>445042</t>
        </is>
      </c>
      <c r="F147" s="2" t="inlineStr">
        <is>
          <t>358000000</t>
        </is>
      </c>
      <c r="G147" s="2" t="inlineStr">
        <is>
          <t>0</t>
        </is>
      </c>
      <c r="H147" s="3" t="n">
        <v>0</v>
      </c>
      <c r="I147" s="3" t="n">
        <v>357900</v>
      </c>
      <c r="J147" s="3" t="n">
        <v>0</v>
      </c>
      <c r="K147" s="3" t="n">
        <v>0</v>
      </c>
      <c r="L147" s="3" t="n">
        <v>357900</v>
      </c>
      <c r="M147" s="3" t="n">
        <v>0</v>
      </c>
      <c r="N147" s="3" t="n">
        <v>0</v>
      </c>
      <c r="O147" s="3" t="n">
        <v>357900</v>
      </c>
      <c r="P147" s="3" t="n">
        <v>357900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</row>
    <row r="148">
      <c r="A148" s="2" t="inlineStr">
        <is>
          <t>22201.0</t>
        </is>
      </c>
      <c r="B148" s="2" t="inlineStr">
        <is>
          <t xml:space="preserve">COMPANHIA URBANIZADORA DA NOVA CAPITAL </t>
        </is>
      </c>
      <c r="C148" s="2" t="inlineStr">
        <is>
          <t>17.512.6209.2903.0001</t>
        </is>
      </c>
      <c r="D148" s="2" t="inlineStr">
        <is>
          <t>MANUTENÇÃO DE REDES DE ÁGUAS PLUVIAIS--DISTRITO FEDERAL</t>
        </is>
      </c>
      <c r="E148" s="2" t="inlineStr">
        <is>
          <t>339037</t>
        </is>
      </c>
      <c r="F148" s="2" t="inlineStr">
        <is>
          <t>100000000</t>
        </is>
      </c>
      <c r="G148" s="2" t="inlineStr">
        <is>
          <t>0</t>
        </is>
      </c>
      <c r="H148" s="3" t="n">
        <v>0</v>
      </c>
      <c r="I148" s="3" t="n">
        <v>1245945.26</v>
      </c>
      <c r="J148" s="3" t="n">
        <v>0</v>
      </c>
      <c r="K148" s="3" t="n">
        <v>0</v>
      </c>
      <c r="L148" s="3" t="n">
        <v>1245945.26</v>
      </c>
      <c r="M148" s="3" t="n">
        <v>1245945.26</v>
      </c>
      <c r="N148" s="3" t="n">
        <v>1245945.26</v>
      </c>
      <c r="O148" s="3" t="n">
        <v>0</v>
      </c>
      <c r="P148" s="3" t="n">
        <v>1245945.26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</row>
    <row r="149">
      <c r="A149" s="2" t="inlineStr">
        <is>
          <t>26206.0</t>
        </is>
      </c>
      <c r="B149" s="2" t="inlineStr">
        <is>
          <t>COMPANHIA DO METROPOLITANO DO DISTRITO FEDERAL</t>
        </is>
      </c>
      <c r="C149" s="2" t="inlineStr">
        <is>
          <t>26.453.6216.2756.6137</t>
        </is>
      </c>
      <c r="D149" s="2" t="inlineStr">
        <is>
          <t>MANUTENÇÃO E FUNCIONAMENTO DO SISTEMA FERROVIÁRIO-DF</t>
        </is>
      </c>
      <c r="E149" s="2" t="inlineStr">
        <is>
          <t>339030</t>
        </is>
      </c>
      <c r="F149" s="2" t="inlineStr">
        <is>
          <t>161000000</t>
        </is>
      </c>
      <c r="G149" s="2" t="inlineStr">
        <is>
          <t>0</t>
        </is>
      </c>
      <c r="H149" s="3" t="n">
        <v>0</v>
      </c>
      <c r="I149" s="3" t="n">
        <v>786190.35</v>
      </c>
      <c r="J149" s="3" t="n">
        <v>0</v>
      </c>
      <c r="K149" s="3" t="n">
        <v>0</v>
      </c>
      <c r="L149" s="3" t="n">
        <v>786190.35</v>
      </c>
      <c r="M149" s="3" t="n">
        <v>786190.35</v>
      </c>
      <c r="N149" s="3" t="n">
        <v>694504.13</v>
      </c>
      <c r="O149" s="3" t="n">
        <v>0</v>
      </c>
      <c r="P149" s="3" t="n">
        <v>786190.35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</row>
    <row r="150">
      <c r="A150" s="2" t="inlineStr">
        <is>
          <t>22214.0</t>
        </is>
      </c>
      <c r="B150" s="2" t="inlineStr">
        <is>
          <t xml:space="preserve">SERVIÇO DE LIMPEZA URBANA </t>
        </is>
      </c>
      <c r="C150" s="2" t="inlineStr">
        <is>
          <t>15.452.6209.2079.6118</t>
        </is>
      </c>
      <c r="D150" s="2" t="inlineStr">
        <is>
          <t>MANUTENÇÃO DAS ATIVIDADES DE LIMPEZA PÚBLICA--DISTRITO FEDERAL</t>
        </is>
      </c>
      <c r="E150" s="2" t="inlineStr">
        <is>
          <t>339047</t>
        </is>
      </c>
      <c r="F150" s="2" t="inlineStr">
        <is>
          <t>100000000</t>
        </is>
      </c>
      <c r="G150" s="2" t="inlineStr">
        <is>
          <t>0</t>
        </is>
      </c>
      <c r="H150" s="3" t="n">
        <v>0</v>
      </c>
      <c r="I150" s="3" t="n">
        <v>78705</v>
      </c>
      <c r="J150" s="3" t="n">
        <v>0</v>
      </c>
      <c r="K150" s="3" t="n">
        <v>0</v>
      </c>
      <c r="L150" s="3" t="n">
        <v>78705</v>
      </c>
      <c r="M150" s="3" t="n">
        <v>78705</v>
      </c>
      <c r="N150" s="3" t="n">
        <v>78705</v>
      </c>
      <c r="O150" s="3" t="n">
        <v>0</v>
      </c>
      <c r="P150" s="3" t="n">
        <v>78705</v>
      </c>
      <c r="Q150" s="3" t="n">
        <v>0</v>
      </c>
      <c r="R150" s="3" t="n">
        <v>42.65</v>
      </c>
      <c r="S150" s="3" t="n">
        <v>0</v>
      </c>
      <c r="T150" s="3" t="n">
        <v>0</v>
      </c>
      <c r="U150" s="3" t="n">
        <v>42.65</v>
      </c>
      <c r="V150" s="3" t="n">
        <v>42.65</v>
      </c>
      <c r="W150" s="3" t="n">
        <v>42.65</v>
      </c>
      <c r="X150" s="3" t="n">
        <v>0</v>
      </c>
      <c r="Y150" s="3" t="n">
        <v>42.65</v>
      </c>
    </row>
    <row r="151">
      <c r="A151" s="2" t="inlineStr">
        <is>
          <t>18101.0</t>
        </is>
      </c>
      <c r="B151" s="2" t="inlineStr">
        <is>
          <t>SECRETARIA DE ESTADO DE  EDUCAÇÃO DO DISTRITO FEDERAL</t>
        </is>
      </c>
      <c r="C151" s="2" t="inlineStr">
        <is>
          <t>12.122.6221.4091.0096</t>
        </is>
      </c>
      <c r="D151" s="2" t="inlineStr">
        <is>
          <t>APOIO A PROJETOS-EDUCADOR SOCIAL VOLUNTÁRIO (ESV)-DISTRITO FEDERAL</t>
        </is>
      </c>
      <c r="E151" s="2" t="inlineStr">
        <is>
          <t>339092</t>
        </is>
      </c>
      <c r="F151" s="2" t="inlineStr">
        <is>
          <t>100000000</t>
        </is>
      </c>
      <c r="G151" s="2" t="inlineStr">
        <is>
          <t>0</t>
        </is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2600</v>
      </c>
      <c r="S151" s="3" t="n">
        <v>0</v>
      </c>
      <c r="T151" s="3" t="n">
        <v>0</v>
      </c>
      <c r="U151" s="3" t="n">
        <v>2600</v>
      </c>
      <c r="V151" s="3" t="n">
        <v>2600</v>
      </c>
      <c r="W151" s="3" t="n">
        <v>2600</v>
      </c>
      <c r="X151" s="3" t="n">
        <v>0</v>
      </c>
      <c r="Y151" s="3" t="n">
        <v>2600</v>
      </c>
    </row>
    <row r="152">
      <c r="A152" s="2" t="inlineStr">
        <is>
          <t>19101.0</t>
        </is>
      </c>
      <c r="B152" s="2" t="inlineStr">
        <is>
          <t xml:space="preserve">SECRETARIA DE ESTADO DE ECONOMIA  DO DISTRITO FEDERAL                                                                                                 </t>
        </is>
      </c>
      <c r="C152" s="2" t="inlineStr">
        <is>
          <t>04.122.8203.2984.0001</t>
        </is>
      </c>
      <c r="D152" s="2" t="inlineStr">
        <is>
          <t>MANUTENÇÃO DA FROTA OFICIAL DE VEÍCULOS-DISTRITO FEDERAL-DISTRITO FEDERAL</t>
        </is>
      </c>
      <c r="E152" s="2" t="inlineStr">
        <is>
          <t>339092</t>
        </is>
      </c>
      <c r="F152" s="2" t="inlineStr">
        <is>
          <t>183000000</t>
        </is>
      </c>
      <c r="G152" s="2" t="inlineStr">
        <is>
          <t>0</t>
        </is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6471079</v>
      </c>
      <c r="S152" s="3" t="n">
        <v>869256.01</v>
      </c>
      <c r="T152" s="3" t="n">
        <v>65294.38</v>
      </c>
      <c r="U152" s="3" t="n">
        <v>5536528.61</v>
      </c>
      <c r="V152" s="3" t="n">
        <v>5536528.61</v>
      </c>
      <c r="W152" s="3" t="n">
        <v>5536487.06</v>
      </c>
      <c r="X152" s="3" t="n">
        <v>0</v>
      </c>
      <c r="Y152" s="3" t="n">
        <v>6471079</v>
      </c>
    </row>
    <row r="153">
      <c r="A153" s="2" t="inlineStr">
        <is>
          <t>23901.0</t>
        </is>
      </c>
      <c r="B153" s="2" t="inlineStr">
        <is>
          <t>FUNDO DE SAÚDE DO DISTRITO FEDERAL</t>
        </is>
      </c>
      <c r="C153" s="2" t="inlineStr">
        <is>
          <t>10.302.6202.4206.0002</t>
        </is>
      </c>
      <c r="D153" s="2" t="inlineStr">
        <is>
          <t>EXECUÇÃO DE CONTRATOS DE GESTÃO-HOSPITAL DA CRIANÇA DE BRASÍLIA JOSÉ ALENCAR - HCB-DISTRITO FEDERAL</t>
        </is>
      </c>
      <c r="E153" s="2" t="inlineStr">
        <is>
          <t>335085</t>
        </is>
      </c>
      <c r="F153" s="2" t="inlineStr">
        <is>
          <t>100000000</t>
        </is>
      </c>
      <c r="G153" s="2" t="inlineStr">
        <is>
          <t>0</t>
        </is>
      </c>
      <c r="H153" s="3" t="n">
        <v>212910653</v>
      </c>
      <c r="I153" s="3" t="n">
        <v>-8021169</v>
      </c>
      <c r="J153" s="3" t="n">
        <v>0.78</v>
      </c>
      <c r="K153" s="3" t="n">
        <v>0</v>
      </c>
      <c r="L153" s="3" t="n">
        <v>204889483.22</v>
      </c>
      <c r="M153" s="3" t="n">
        <v>204889483.22</v>
      </c>
      <c r="N153" s="3" t="n">
        <v>203397717.93</v>
      </c>
      <c r="O153" s="3" t="n">
        <v>0</v>
      </c>
      <c r="P153" s="3" t="n">
        <v>204889484</v>
      </c>
      <c r="Q153" s="3" t="n">
        <v>115000000</v>
      </c>
      <c r="R153" s="3" t="n">
        <v>-922958</v>
      </c>
      <c r="S153" s="3" t="n">
        <v>0</v>
      </c>
      <c r="T153" s="3" t="n">
        <v>2656133.96</v>
      </c>
      <c r="U153" s="3" t="n">
        <v>111420908.04</v>
      </c>
      <c r="V153" s="3" t="n">
        <v>111420907.27</v>
      </c>
      <c r="W153" s="3" t="n">
        <v>110699660.34</v>
      </c>
      <c r="X153" s="3" t="n">
        <v>0.77</v>
      </c>
      <c r="Y153" s="3" t="n">
        <v>114077042</v>
      </c>
    </row>
    <row r="154">
      <c r="A154" s="2" t="inlineStr">
        <is>
          <t>26205.0</t>
        </is>
      </c>
      <c r="B154" s="2" t="inlineStr">
        <is>
          <t>DEPARTAMENTO DE ESTRADAS DE RODAGEM</t>
        </is>
      </c>
      <c r="C154" s="2" t="inlineStr">
        <is>
          <t>26.782.6216.4195.0001</t>
        </is>
      </c>
      <c r="D154" s="2" t="inlineStr">
        <is>
          <t>CONSERVAÇÃO DE  RODOVIAS-PREVENTIVA E CORRETIVA-DER-DF-DISTRITO FEDERAL</t>
        </is>
      </c>
      <c r="E154" s="2" t="inlineStr">
        <is>
          <t>339030</t>
        </is>
      </c>
      <c r="F154" s="2" t="inlineStr">
        <is>
          <t>237000000</t>
        </is>
      </c>
      <c r="G154" s="2" t="inlineStr">
        <is>
          <t>0</t>
        </is>
      </c>
      <c r="H154" s="3" t="n">
        <v>0</v>
      </c>
      <c r="I154" s="3" t="n">
        <v>2799479.63</v>
      </c>
      <c r="J154" s="3" t="n">
        <v>0</v>
      </c>
      <c r="K154" s="3" t="n">
        <v>0</v>
      </c>
      <c r="L154" s="3" t="n">
        <v>2799479.63</v>
      </c>
      <c r="M154" s="3" t="n">
        <v>2610830.62</v>
      </c>
      <c r="N154" s="3" t="n">
        <v>2610830.62</v>
      </c>
      <c r="O154" s="3" t="n">
        <v>188649.01</v>
      </c>
      <c r="P154" s="3" t="n">
        <v>2799479.63</v>
      </c>
      <c r="Q154" s="3" t="n">
        <v>0</v>
      </c>
      <c r="R154" s="3" t="n">
        <v>1034312.34</v>
      </c>
      <c r="S154" s="3" t="n">
        <v>0</v>
      </c>
      <c r="T154" s="3" t="n">
        <v>0</v>
      </c>
      <c r="U154" s="3" t="n">
        <v>1034312.34</v>
      </c>
      <c r="V154" s="3" t="n">
        <v>1034312.34</v>
      </c>
      <c r="W154" s="3" t="n">
        <v>1033583.81</v>
      </c>
      <c r="X154" s="3" t="n">
        <v>0</v>
      </c>
      <c r="Y154" s="3" t="n">
        <v>1034312.34</v>
      </c>
    </row>
    <row r="155">
      <c r="A155" s="2" t="inlineStr">
        <is>
          <t>22214.0</t>
        </is>
      </c>
      <c r="B155" s="2" t="inlineStr">
        <is>
          <t xml:space="preserve">SERVIÇO DE LIMPEZA URBANA </t>
        </is>
      </c>
      <c r="C155" s="2" t="inlineStr">
        <is>
          <t>15.452.6209.2079.6118</t>
        </is>
      </c>
      <c r="D155" s="2" t="inlineStr">
        <is>
          <t>MANUTENÇÃO DAS ATIVIDADES DE LIMPEZA PÚBLICA--DISTRITO FEDERAL</t>
        </is>
      </c>
      <c r="E155" s="2" t="inlineStr">
        <is>
          <t>339092</t>
        </is>
      </c>
      <c r="F155" s="2" t="inlineStr">
        <is>
          <t>100000000</t>
        </is>
      </c>
      <c r="G155" s="2" t="inlineStr">
        <is>
          <t>0</t>
        </is>
      </c>
      <c r="H155" s="3" t="n">
        <v>0</v>
      </c>
      <c r="I155" s="3" t="n">
        <v>42999937.53</v>
      </c>
      <c r="J155" s="3" t="n">
        <v>0</v>
      </c>
      <c r="K155" s="3" t="n">
        <v>0</v>
      </c>
      <c r="L155" s="3" t="n">
        <v>42999937.53</v>
      </c>
      <c r="M155" s="3" t="n">
        <v>42952690.63</v>
      </c>
      <c r="N155" s="3" t="n">
        <v>42952690.63</v>
      </c>
      <c r="O155" s="3" t="n">
        <v>47246.9</v>
      </c>
      <c r="P155" s="3" t="n">
        <v>42999937.53</v>
      </c>
      <c r="Q155" s="3" t="n">
        <v>0</v>
      </c>
      <c r="R155" s="3" t="n">
        <v>55142000</v>
      </c>
      <c r="S155" s="3" t="n">
        <v>0</v>
      </c>
      <c r="T155" s="3" t="n">
        <v>0</v>
      </c>
      <c r="U155" s="3" t="n">
        <v>55142000</v>
      </c>
      <c r="V155" s="3" t="n">
        <v>55026235.86</v>
      </c>
      <c r="W155" s="3" t="n">
        <v>54824767.94</v>
      </c>
      <c r="X155" s="3" t="n">
        <v>115764.14</v>
      </c>
      <c r="Y155" s="3" t="n">
        <v>55142000</v>
      </c>
    </row>
    <row r="156">
      <c r="A156" s="2" t="inlineStr">
        <is>
          <t>26101.0</t>
        </is>
      </c>
      <c r="B156" s="2" t="inlineStr">
        <is>
          <t>SECRETARIA DE ESTADO DE TRANSPORTE E MOBILIDADE DO DISTRITO FEDERAL</t>
        </is>
      </c>
      <c r="C156" s="2" t="inlineStr">
        <is>
          <t>26.453.6216.4202.0002</t>
        </is>
      </c>
      <c r="D156" s="2" t="inlineStr">
        <is>
          <t>CONCESSÃO DE PASSE LIVRE-PORTADORES DE NECESSIDADES ESPECIAIS PNE-DISTRITO FEDERAL</t>
        </is>
      </c>
      <c r="E156" s="2" t="inlineStr">
        <is>
          <t>449039</t>
        </is>
      </c>
      <c r="F156" s="2" t="inlineStr">
        <is>
          <t>100000000</t>
        </is>
      </c>
      <c r="G156" s="2" t="inlineStr">
        <is>
          <t>0</t>
        </is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16080659</v>
      </c>
      <c r="S156" s="3" t="n">
        <v>0</v>
      </c>
      <c r="T156" s="3" t="n">
        <v>0</v>
      </c>
      <c r="U156" s="3" t="n">
        <v>16080659</v>
      </c>
      <c r="V156" s="3" t="n">
        <v>14823948.47</v>
      </c>
      <c r="W156" s="3" t="n">
        <v>14823948.47</v>
      </c>
      <c r="X156" s="3" t="n">
        <v>1256710.53</v>
      </c>
      <c r="Y156" s="3" t="n">
        <v>16080659</v>
      </c>
    </row>
    <row r="157">
      <c r="A157" s="2" t="inlineStr">
        <is>
          <t>26205.0</t>
        </is>
      </c>
      <c r="B157" s="2" t="inlineStr">
        <is>
          <t>DEPARTAMENTO DE ESTRADAS DE RODAGEM</t>
        </is>
      </c>
      <c r="C157" s="2" t="inlineStr">
        <is>
          <t>26.782.6216.4195.0001</t>
        </is>
      </c>
      <c r="D157" s="2" t="inlineStr">
        <is>
          <t>CONSERVAÇÃO DE  RODOVIAS-PREVENTIVA E CORRETIVA-DER-DF-DISTRITO FEDERAL</t>
        </is>
      </c>
      <c r="E157" s="2" t="inlineStr">
        <is>
          <t>339039</t>
        </is>
      </c>
      <c r="F157" s="2" t="inlineStr">
        <is>
          <t>220000000</t>
        </is>
      </c>
      <c r="G157" s="2" t="inlineStr">
        <is>
          <t>0</t>
        </is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300000</v>
      </c>
      <c r="R157" s="3" t="n">
        <v>205000</v>
      </c>
      <c r="S157" s="3" t="n">
        <v>0</v>
      </c>
      <c r="T157" s="3" t="n">
        <v>0</v>
      </c>
      <c r="U157" s="3" t="n">
        <v>505000</v>
      </c>
      <c r="V157" s="3" t="n">
        <v>505000</v>
      </c>
      <c r="W157" s="3" t="n">
        <v>504769.16</v>
      </c>
      <c r="X157" s="3" t="n">
        <v>0</v>
      </c>
      <c r="Y157" s="3" t="n">
        <v>505000</v>
      </c>
    </row>
    <row r="158">
      <c r="A158" s="2" t="inlineStr">
        <is>
          <t>19101.0</t>
        </is>
      </c>
      <c r="B158" s="2" t="inlineStr">
        <is>
          <t xml:space="preserve">SECRETARIA DE ESTADO DE ECONOMIA  DO DISTRITO FEDERAL                                                                                                 </t>
        </is>
      </c>
      <c r="C158" s="2" t="inlineStr">
        <is>
          <t>04.122.8203.2990.0006</t>
        </is>
      </c>
      <c r="D158" s="2" t="inlineStr">
        <is>
          <t>MANUTENÇÃO DE BENS IMÓVEIS DO GDF-VIGILÂNCIA-DISTRITO FEDERAL</t>
        </is>
      </c>
      <c r="E158" s="2" t="inlineStr">
        <is>
          <t>339092</t>
        </is>
      </c>
      <c r="F158" s="2" t="inlineStr">
        <is>
          <t>183000000</t>
        </is>
      </c>
      <c r="G158" s="2" t="inlineStr">
        <is>
          <t>0</t>
        </is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6314758</v>
      </c>
      <c r="S158" s="3" t="n">
        <v>69380.16</v>
      </c>
      <c r="T158" s="3" t="n">
        <v>0</v>
      </c>
      <c r="U158" s="3" t="n">
        <v>6245377.84</v>
      </c>
      <c r="V158" s="3" t="n">
        <v>6245377.84</v>
      </c>
      <c r="W158" s="3" t="n">
        <v>6245377.84</v>
      </c>
      <c r="X158" s="3" t="n">
        <v>0</v>
      </c>
      <c r="Y158" s="3" t="n">
        <v>6314758</v>
      </c>
    </row>
    <row r="159">
      <c r="A159" s="2" t="inlineStr">
        <is>
          <t>19101.0</t>
        </is>
      </c>
      <c r="B159" s="2" t="inlineStr">
        <is>
          <t xml:space="preserve">SECRETARIA DE ESTADO DE ECONOMIA  DO DISTRITO FEDERAL                                                                                                 </t>
        </is>
      </c>
      <c r="C159" s="2" t="inlineStr">
        <is>
          <t>04.122.8203.2984.0001</t>
        </is>
      </c>
      <c r="D159" s="2" t="inlineStr">
        <is>
          <t>MANUTENÇÃO DA FROTA OFICIAL DE VEÍCULOS-DISTRITO FEDERAL-DISTRITO FEDERAL</t>
        </is>
      </c>
      <c r="E159" s="2" t="inlineStr">
        <is>
          <t>339039</t>
        </is>
      </c>
      <c r="F159" s="2" t="inlineStr">
        <is>
          <t>100000000</t>
        </is>
      </c>
      <c r="G159" s="2" t="inlineStr">
        <is>
          <t>0</t>
        </is>
      </c>
      <c r="H159" s="3" t="n">
        <v>18073000</v>
      </c>
      <c r="I159" s="3" t="n">
        <v>4210761.02</v>
      </c>
      <c r="J159" s="3" t="n">
        <v>0</v>
      </c>
      <c r="K159" s="3" t="n">
        <v>0</v>
      </c>
      <c r="L159" s="3" t="n">
        <v>22283761.02</v>
      </c>
      <c r="M159" s="3" t="n">
        <v>22283761.02</v>
      </c>
      <c r="N159" s="3" t="n">
        <v>20852865.3</v>
      </c>
      <c r="O159" s="3" t="n">
        <v>0</v>
      </c>
      <c r="P159" s="3" t="n">
        <v>22283761.02</v>
      </c>
      <c r="Q159" s="3" t="n">
        <v>0</v>
      </c>
      <c r="R159" s="3" t="n">
        <v>4857160.24</v>
      </c>
      <c r="S159" s="3" t="n">
        <v>0</v>
      </c>
      <c r="T159" s="3" t="n">
        <v>558959.16</v>
      </c>
      <c r="U159" s="3" t="n">
        <v>4298201.08</v>
      </c>
      <c r="V159" s="3" t="n">
        <v>4298200.24</v>
      </c>
      <c r="W159" s="3" t="n">
        <v>1178859.39</v>
      </c>
      <c r="X159" s="3" t="n">
        <v>0.84</v>
      </c>
      <c r="Y159" s="3" t="n">
        <v>4857160.24</v>
      </c>
    </row>
    <row r="160">
      <c r="A160" s="2" t="inlineStr">
        <is>
          <t>23901.0</t>
        </is>
      </c>
      <c r="B160" s="2" t="inlineStr">
        <is>
          <t>FUNDO DE SAÚDE DO DISTRITO FEDERAL</t>
        </is>
      </c>
      <c r="C160" s="2" t="inlineStr">
        <is>
          <t>10.302.6202.4206.0002</t>
        </is>
      </c>
      <c r="D160" s="2" t="inlineStr">
        <is>
          <t>EXECUÇÃO DE CONTRATOS DE GESTÃO-HOSPITAL DA CRIANÇA DE BRASÍLIA JOSÉ ALENCAR - HCB-DISTRITO FEDERAL</t>
        </is>
      </c>
      <c r="E160" s="2" t="inlineStr">
        <is>
          <t>445085</t>
        </is>
      </c>
      <c r="F160" s="2" t="inlineStr">
        <is>
          <t>738000000</t>
        </is>
      </c>
      <c r="G160" s="2" t="inlineStr">
        <is>
          <t>0</t>
        </is>
      </c>
      <c r="H160" s="3" t="n">
        <v>0</v>
      </c>
      <c r="I160" s="3" t="n">
        <v>5647775</v>
      </c>
      <c r="J160" s="3" t="n">
        <v>0</v>
      </c>
      <c r="K160" s="3" t="n">
        <v>0</v>
      </c>
      <c r="L160" s="3" t="n">
        <v>5647775</v>
      </c>
      <c r="M160" s="3" t="n">
        <v>5647775</v>
      </c>
      <c r="N160" s="3" t="n">
        <v>4675257</v>
      </c>
      <c r="O160" s="3" t="n">
        <v>0</v>
      </c>
      <c r="P160" s="3" t="n">
        <v>5647775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</row>
    <row r="161">
      <c r="A161" s="2" t="inlineStr">
        <is>
          <t>64101.0</t>
        </is>
      </c>
      <c r="B161" s="2" t="inlineStr">
        <is>
          <t xml:space="preserve">SECRETARIA DE ESTADO ADMINISTRAÇÃO PENITENCIÁRIA DO DISTRITO FEDERAL </t>
        </is>
      </c>
      <c r="C161" s="2" t="inlineStr">
        <is>
          <t>06.422.6217.2540.0002</t>
        </is>
      </c>
      <c r="D161" s="2" t="inlineStr">
        <is>
          <t>FORNECIMENTO DE ALIMENTAÇÃO AOS PRESIDIÁRIOS-FORNECIMENTO DE ALIMENTAÇÃO AOS PRESIDIÁRIOS-SEAP-DISTRITO FEDERAL</t>
        </is>
      </c>
      <c r="E161" s="2" t="inlineStr">
        <is>
          <t>339039</t>
        </is>
      </c>
      <c r="F161" s="2" t="inlineStr">
        <is>
          <t>161000000</t>
        </is>
      </c>
      <c r="G161" s="2" t="inlineStr">
        <is>
          <t>0</t>
        </is>
      </c>
      <c r="H161" s="3" t="n">
        <v>0</v>
      </c>
      <c r="I161" s="3" t="n">
        <v>14300000</v>
      </c>
      <c r="J161" s="3" t="n">
        <v>0</v>
      </c>
      <c r="K161" s="3" t="n">
        <v>0</v>
      </c>
      <c r="L161" s="3" t="n">
        <v>14300000</v>
      </c>
      <c r="M161" s="3" t="n">
        <v>13973449.61</v>
      </c>
      <c r="N161" s="3" t="n">
        <v>13702417.65</v>
      </c>
      <c r="O161" s="3" t="n">
        <v>326550.39</v>
      </c>
      <c r="P161" s="3" t="n">
        <v>14300000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</row>
    <row r="162">
      <c r="A162" s="2" t="inlineStr">
        <is>
          <t>18101.0</t>
        </is>
      </c>
      <c r="B162" s="2" t="inlineStr">
        <is>
          <t>SECRETARIA DE ESTADO DE  EDUCAÇÃO DO DISTRITO FEDERAL</t>
        </is>
      </c>
      <c r="C162" s="2" t="inlineStr">
        <is>
          <t>12.453.6221.4202.0010</t>
        </is>
      </c>
      <c r="D162" s="2" t="inlineStr">
        <is>
          <t>CONCESSÃO DE PASSE LIVRE - PLE - OUTROS - DISTRITO FEDERAL</t>
        </is>
      </c>
      <c r="E162" s="2" t="inlineStr">
        <is>
          <t>339036</t>
        </is>
      </c>
      <c r="F162" s="2" t="inlineStr">
        <is>
          <t>100000000</t>
        </is>
      </c>
      <c r="G162" s="2" t="inlineStr">
        <is>
          <t>0</t>
        </is>
      </c>
      <c r="H162" s="3" t="n">
        <v>0</v>
      </c>
      <c r="I162" s="3" t="n">
        <v>2699918</v>
      </c>
      <c r="J162" s="3" t="n">
        <v>0</v>
      </c>
      <c r="K162" s="3" t="n">
        <v>0</v>
      </c>
      <c r="L162" s="3" t="n">
        <v>2699918</v>
      </c>
      <c r="M162" s="3" t="n">
        <v>2075889.06</v>
      </c>
      <c r="N162" s="3" t="n">
        <v>1658535.55</v>
      </c>
      <c r="O162" s="3" t="n">
        <v>624028.9399999999</v>
      </c>
      <c r="P162" s="3" t="n">
        <v>2699918</v>
      </c>
      <c r="Q162" s="3" t="n">
        <v>0</v>
      </c>
      <c r="R162" s="3" t="n">
        <v>233734</v>
      </c>
      <c r="S162" s="3" t="n">
        <v>0</v>
      </c>
      <c r="T162" s="3" t="n">
        <v>38198.06</v>
      </c>
      <c r="U162" s="3" t="n">
        <v>195535.94</v>
      </c>
      <c r="V162" s="3" t="n">
        <v>195535.94</v>
      </c>
      <c r="W162" s="3" t="n">
        <v>195535.94</v>
      </c>
      <c r="X162" s="3" t="n">
        <v>0</v>
      </c>
      <c r="Y162" s="3" t="n">
        <v>233734</v>
      </c>
    </row>
    <row r="163">
      <c r="A163" s="2" t="inlineStr">
        <is>
          <t>26101.0</t>
        </is>
      </c>
      <c r="B163" s="2" t="inlineStr">
        <is>
          <t>SECRETARIA DE ESTADO DE TRANSPORTE E MOBILIDADE DO DISTRITO FEDERAL</t>
        </is>
      </c>
      <c r="C163" s="2" t="inlineStr">
        <is>
          <t>26.453.6216.2455.0002</t>
        </is>
      </c>
      <c r="D163" s="2" t="inlineStr">
        <is>
          <t>MANUTENÇÃO DO EQUILÍBRIO FINANCEIRO DO SISTEMA DE TRANSPORTE PÚBLICO COLETIVO - STPC--DISTRITO FEDERAL</t>
        </is>
      </c>
      <c r="E163" s="2" t="inlineStr">
        <is>
          <t>339039</t>
        </is>
      </c>
      <c r="F163" s="2" t="inlineStr">
        <is>
          <t>100000000</t>
        </is>
      </c>
      <c r="G163" s="2" t="inlineStr">
        <is>
          <t>0</t>
        </is>
      </c>
      <c r="H163" s="3" t="n">
        <v>480000000</v>
      </c>
      <c r="I163" s="3" t="n">
        <v>201833305.74</v>
      </c>
      <c r="J163" s="3" t="n">
        <v>0</v>
      </c>
      <c r="K163" s="3" t="n">
        <v>0</v>
      </c>
      <c r="L163" s="3" t="n">
        <v>681833305.74</v>
      </c>
      <c r="M163" s="3" t="n">
        <v>681778287.3200001</v>
      </c>
      <c r="N163" s="3" t="n">
        <v>681778287.3200001</v>
      </c>
      <c r="O163" s="3" t="n">
        <v>55018.42</v>
      </c>
      <c r="P163" s="3" t="n">
        <v>681833305.74</v>
      </c>
      <c r="Q163" s="3" t="n">
        <v>888597955</v>
      </c>
      <c r="R163" s="3" t="n">
        <v>36293399.08</v>
      </c>
      <c r="S163" s="3" t="n">
        <v>0</v>
      </c>
      <c r="T163" s="3" t="n">
        <v>0</v>
      </c>
      <c r="U163" s="3" t="n">
        <v>774851646.08</v>
      </c>
      <c r="V163" s="3" t="n">
        <v>771622113.16</v>
      </c>
      <c r="W163" s="3" t="n">
        <v>771622113.16</v>
      </c>
      <c r="X163" s="3" t="n">
        <v>3229532.92</v>
      </c>
      <c r="Y163" s="3" t="n">
        <v>924891354.08</v>
      </c>
    </row>
    <row r="164">
      <c r="A164" s="2" t="inlineStr">
        <is>
          <t>22214.0</t>
        </is>
      </c>
      <c r="B164" s="2" t="inlineStr">
        <is>
          <t xml:space="preserve">SERVIÇO DE LIMPEZA URBANA </t>
        </is>
      </c>
      <c r="C164" s="2" t="inlineStr">
        <is>
          <t>15.452.6209.2079.6118</t>
        </is>
      </c>
      <c r="D164" s="2" t="inlineStr">
        <is>
          <t>MANUTENÇÃO DAS ATIVIDADES DE LIMPEZA PÚBLICA--DISTRITO FEDERAL</t>
        </is>
      </c>
      <c r="E164" s="2" t="inlineStr">
        <is>
          <t>339039</t>
        </is>
      </c>
      <c r="F164" s="2" t="inlineStr">
        <is>
          <t>101000000</t>
        </is>
      </c>
      <c r="G164" s="2" t="inlineStr">
        <is>
          <t>0</t>
        </is>
      </c>
      <c r="H164" s="3" t="n">
        <v>0</v>
      </c>
      <c r="I164" s="3" t="n">
        <v>33014028</v>
      </c>
      <c r="J164" s="3" t="n">
        <v>0</v>
      </c>
      <c r="K164" s="3" t="n">
        <v>0</v>
      </c>
      <c r="L164" s="3" t="n">
        <v>33014028</v>
      </c>
      <c r="M164" s="3" t="n">
        <v>33014027.73</v>
      </c>
      <c r="N164" s="3" t="n">
        <v>33014027.73</v>
      </c>
      <c r="O164" s="3" t="n">
        <v>0.27</v>
      </c>
      <c r="P164" s="3" t="n">
        <v>33014028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</row>
    <row r="165">
      <c r="A165" s="2" t="inlineStr">
        <is>
          <t>26205.0</t>
        </is>
      </c>
      <c r="B165" s="2" t="inlineStr">
        <is>
          <t>DEPARTAMENTO DE ESTRADAS DE RODAGEM</t>
        </is>
      </c>
      <c r="C165" s="2" t="inlineStr">
        <is>
          <t>26.782.6216.2885.0001</t>
        </is>
      </c>
      <c r="D165" s="2" t="inlineStr">
        <is>
          <t>MANUTENÇÃO DE MÁQUINAS E EQUIPAMENTOS-LEVES E PESADOS - DER-DF-DISTRITO FEDERAL</t>
        </is>
      </c>
      <c r="E165" s="2" t="inlineStr">
        <is>
          <t>339039</t>
        </is>
      </c>
      <c r="F165" s="2" t="inlineStr">
        <is>
          <t>183000000</t>
        </is>
      </c>
      <c r="G165" s="2" t="inlineStr">
        <is>
          <t>0</t>
        </is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</row>
    <row r="166">
      <c r="A166" s="2" t="inlineStr">
        <is>
          <t>26205.0</t>
        </is>
      </c>
      <c r="B166" s="2" t="inlineStr">
        <is>
          <t>DEPARTAMENTO DE ESTRADAS DE RODAGEM</t>
        </is>
      </c>
      <c r="C166" s="2" t="inlineStr">
        <is>
          <t>26.782.6216.2885.0001</t>
        </is>
      </c>
      <c r="D166" s="2" t="inlineStr">
        <is>
          <t>MANUTENÇÃO DE MÁQUINAS E EQUIPAMENTOS-LEVES E PESADOS - DER-DF-DISTRITO FEDERAL</t>
        </is>
      </c>
      <c r="E166" s="2" t="inlineStr">
        <is>
          <t>339030</t>
        </is>
      </c>
      <c r="F166" s="2" t="inlineStr">
        <is>
          <t>161000000</t>
        </is>
      </c>
      <c r="G166" s="2" t="inlineStr">
        <is>
          <t>0</t>
        </is>
      </c>
      <c r="H166" s="3" t="n">
        <v>0</v>
      </c>
      <c r="I166" s="3" t="n">
        <v>960000</v>
      </c>
      <c r="J166" s="3" t="n">
        <v>0</v>
      </c>
      <c r="K166" s="3" t="n">
        <v>0</v>
      </c>
      <c r="L166" s="3" t="n">
        <v>960000</v>
      </c>
      <c r="M166" s="3" t="n">
        <v>953597</v>
      </c>
      <c r="N166" s="3" t="n">
        <v>953597</v>
      </c>
      <c r="O166" s="3" t="n">
        <v>6403</v>
      </c>
      <c r="P166" s="3" t="n">
        <v>960000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</row>
    <row r="167">
      <c r="A167" s="2" t="inlineStr">
        <is>
          <t>26206.0</t>
        </is>
      </c>
      <c r="B167" s="2" t="inlineStr">
        <is>
          <t>COMPANHIA DO METROPOLITANO DO DISTRITO FEDERAL</t>
        </is>
      </c>
      <c r="C167" s="2" t="inlineStr">
        <is>
          <t>26.453.6216.2756.6137</t>
        </is>
      </c>
      <c r="D167" s="2" t="inlineStr">
        <is>
          <t>MANUTENÇÃO E FUNCIONAMENTO DO SISTEMA FERROVIÁRIO-DF</t>
        </is>
      </c>
      <c r="E167" s="2" t="inlineStr">
        <is>
          <t>339034</t>
        </is>
      </c>
      <c r="F167" s="2" t="inlineStr">
        <is>
          <t>100000000</t>
        </is>
      </c>
      <c r="G167" s="2" t="inlineStr">
        <is>
          <t>0</t>
        </is>
      </c>
      <c r="H167" s="3" t="n">
        <v>0</v>
      </c>
      <c r="I167" s="3" t="n">
        <v>379490.58</v>
      </c>
      <c r="J167" s="3" t="n">
        <v>0</v>
      </c>
      <c r="K167" s="3" t="n">
        <v>0</v>
      </c>
      <c r="L167" s="3" t="n">
        <v>379490.58</v>
      </c>
      <c r="M167" s="3" t="n">
        <v>379490.58</v>
      </c>
      <c r="N167" s="3" t="n">
        <v>379490.58</v>
      </c>
      <c r="O167" s="3" t="n">
        <v>0</v>
      </c>
      <c r="P167" s="3" t="n">
        <v>379490.58</v>
      </c>
      <c r="Q167" s="3" t="n">
        <v>165640</v>
      </c>
      <c r="R167" s="3" t="n">
        <v>576451.21</v>
      </c>
      <c r="S167" s="3" t="n">
        <v>61286.8</v>
      </c>
      <c r="T167" s="3" t="n">
        <v>0</v>
      </c>
      <c r="U167" s="3" t="n">
        <v>680804.41</v>
      </c>
      <c r="V167" s="3" t="n">
        <v>680804.41</v>
      </c>
      <c r="W167" s="3" t="n">
        <v>605974.25</v>
      </c>
      <c r="X167" s="3" t="n">
        <v>0</v>
      </c>
      <c r="Y167" s="3" t="n">
        <v>742091.21</v>
      </c>
    </row>
    <row r="168">
      <c r="A168" s="2" t="inlineStr">
        <is>
          <t>23901.0</t>
        </is>
      </c>
      <c r="B168" s="2" t="inlineStr">
        <is>
          <t>FUNDO DE SAÚDE DO DISTRITO FEDERAL</t>
        </is>
      </c>
      <c r="C168" s="2" t="inlineStr">
        <is>
          <t>10.302.6202.4206.0001</t>
        </is>
      </c>
      <c r="D168" s="2" t="inlineStr">
        <is>
          <t>EXECUÇÃO DE CONTRATOS DE GESTÃO - INSTITUTO DE GESTÃO ESTRATÉGICA DE SAÚDE DO DISTRITO FEDERAL - DISTRITO FEDERAL</t>
        </is>
      </c>
      <c r="E168" s="2" t="inlineStr">
        <is>
          <t>335085</t>
        </is>
      </c>
      <c r="F168" s="2" t="inlineStr">
        <is>
          <t>338000000</t>
        </is>
      </c>
      <c r="G168" s="2" t="inlineStr">
        <is>
          <t>0</t>
        </is>
      </c>
      <c r="H168" s="3" t="n">
        <v>0</v>
      </c>
      <c r="I168" s="3" t="n">
        <v>20853590</v>
      </c>
      <c r="J168" s="3" t="n">
        <v>0</v>
      </c>
      <c r="K168" s="3" t="n">
        <v>0</v>
      </c>
      <c r="L168" s="3" t="n">
        <v>20853590</v>
      </c>
      <c r="M168" s="3" t="n">
        <v>20853573</v>
      </c>
      <c r="N168" s="3" t="n">
        <v>20853573</v>
      </c>
      <c r="O168" s="3" t="n">
        <v>17</v>
      </c>
      <c r="P168" s="3" t="n">
        <v>20853590</v>
      </c>
      <c r="Q168" s="3" t="n">
        <v>0</v>
      </c>
      <c r="R168" s="3" t="n">
        <v>30000000</v>
      </c>
      <c r="S168" s="3" t="n">
        <v>0</v>
      </c>
      <c r="T168" s="3" t="n">
        <v>0</v>
      </c>
      <c r="U168" s="3" t="n">
        <v>30000000</v>
      </c>
      <c r="V168" s="3" t="n">
        <v>30000000</v>
      </c>
      <c r="W168" s="3" t="n">
        <v>30000000</v>
      </c>
      <c r="X168" s="3" t="n">
        <v>0</v>
      </c>
      <c r="Y168" s="3" t="n">
        <v>30000000</v>
      </c>
    </row>
    <row r="169">
      <c r="A169" s="2" t="inlineStr">
        <is>
          <t>22214.0</t>
        </is>
      </c>
      <c r="B169" s="2" t="inlineStr">
        <is>
          <t xml:space="preserve">SERVIÇO DE LIMPEZA URBANA </t>
        </is>
      </c>
      <c r="C169" s="2" t="inlineStr">
        <is>
          <t>15.452.6209.2079.6118</t>
        </is>
      </c>
      <c r="D169" s="2" t="inlineStr">
        <is>
          <t>MANUTENÇÃO DAS ATIVIDADES DE LIMPEZA PÚBLICA--DISTRITO FEDERAL</t>
        </is>
      </c>
      <c r="E169" s="2" t="inlineStr">
        <is>
          <t>339039</t>
        </is>
      </c>
      <c r="F169" s="2" t="inlineStr">
        <is>
          <t>183000000</t>
        </is>
      </c>
      <c r="G169" s="2" t="inlineStr">
        <is>
          <t>0</t>
        </is>
      </c>
      <c r="H169" s="3" t="n">
        <v>0</v>
      </c>
      <c r="I169" s="3" t="n">
        <v>240195</v>
      </c>
      <c r="J169" s="3" t="n">
        <v>0</v>
      </c>
      <c r="K169" s="3" t="n">
        <v>0</v>
      </c>
      <c r="L169" s="3" t="n">
        <v>240195</v>
      </c>
      <c r="M169" s="3" t="n">
        <v>239458.48</v>
      </c>
      <c r="N169" s="3" t="n">
        <v>239458.48</v>
      </c>
      <c r="O169" s="3" t="n">
        <v>736.52</v>
      </c>
      <c r="P169" s="3" t="n">
        <v>240195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</row>
    <row r="170">
      <c r="A170" s="2" t="inlineStr">
        <is>
          <t>22214.0</t>
        </is>
      </c>
      <c r="B170" s="2" t="inlineStr">
        <is>
          <t xml:space="preserve">SERVIÇO DE LIMPEZA URBANA </t>
        </is>
      </c>
      <c r="C170" s="2" t="inlineStr">
        <is>
          <t>15.452.6209.2079.6118</t>
        </is>
      </c>
      <c r="D170" s="2" t="inlineStr">
        <is>
          <t>MANUTENÇÃO DAS ATIVIDADES DE LIMPEZA PÚBLICA--DISTRITO FEDERAL</t>
        </is>
      </c>
      <c r="E170" s="2" t="inlineStr">
        <is>
          <t>339039</t>
        </is>
      </c>
      <c r="F170" s="2" t="inlineStr">
        <is>
          <t>161000000</t>
        </is>
      </c>
      <c r="G170" s="2" t="inlineStr">
        <is>
          <t>0</t>
        </is>
      </c>
      <c r="H170" s="3" t="n">
        <v>0</v>
      </c>
      <c r="I170" s="3" t="n">
        <v>42145417</v>
      </c>
      <c r="J170" s="3" t="n">
        <v>0</v>
      </c>
      <c r="K170" s="3" t="n">
        <v>0</v>
      </c>
      <c r="L170" s="3" t="n">
        <v>42145417</v>
      </c>
      <c r="M170" s="3" t="n">
        <v>42145416.84</v>
      </c>
      <c r="N170" s="3" t="n">
        <v>39609616.85</v>
      </c>
      <c r="O170" s="3" t="n">
        <v>0.16</v>
      </c>
      <c r="P170" s="3" t="n">
        <v>42145417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</row>
    <row r="171">
      <c r="A171" s="2" t="inlineStr">
        <is>
          <t>26101.0</t>
        </is>
      </c>
      <c r="B171" s="2" t="inlineStr">
        <is>
          <t>SECRETARIA DE ESTADO DE TRANSPORTE E MOBILIDADE DO DISTRITO FEDERAL</t>
        </is>
      </c>
      <c r="C171" s="2" t="inlineStr">
        <is>
          <t>26.453.6216.2455.0002</t>
        </is>
      </c>
      <c r="D171" s="2" t="inlineStr">
        <is>
          <t>MANUTENÇÃO DO EQUILÍBRIO FINANCEIRO DO SISTEMA DE TRANSPORTE PÚBLICO COLETIVO - STPC--DISTRITO FEDERAL</t>
        </is>
      </c>
      <c r="E171" s="2" t="inlineStr">
        <is>
          <t>339039</t>
        </is>
      </c>
      <c r="F171" s="2" t="inlineStr">
        <is>
          <t>101000000</t>
        </is>
      </c>
      <c r="G171" s="2" t="inlineStr">
        <is>
          <t>0</t>
        </is>
      </c>
      <c r="H171" s="3" t="n">
        <v>0</v>
      </c>
      <c r="I171" s="3" t="n">
        <v>87671200</v>
      </c>
      <c r="J171" s="3" t="n">
        <v>0</v>
      </c>
      <c r="K171" s="3" t="n">
        <v>0</v>
      </c>
      <c r="L171" s="3" t="n">
        <v>87671200</v>
      </c>
      <c r="M171" s="3" t="n">
        <v>87671199.98999999</v>
      </c>
      <c r="N171" s="3" t="n">
        <v>87671199.98999999</v>
      </c>
      <c r="O171" s="3" t="n">
        <v>0.01</v>
      </c>
      <c r="P171" s="3" t="n">
        <v>87671200</v>
      </c>
      <c r="Q171" s="3" t="n">
        <v>0</v>
      </c>
      <c r="R171" s="3" t="n">
        <v>104585349</v>
      </c>
      <c r="S171" s="3" t="n">
        <v>0</v>
      </c>
      <c r="T171" s="3" t="n">
        <v>0</v>
      </c>
      <c r="U171" s="3" t="n">
        <v>104585349</v>
      </c>
      <c r="V171" s="3" t="n">
        <v>104537179.12</v>
      </c>
      <c r="W171" s="3" t="n">
        <v>104537179.12</v>
      </c>
      <c r="X171" s="3" t="n">
        <v>48169.88</v>
      </c>
      <c r="Y171" s="3" t="n">
        <v>104585349</v>
      </c>
    </row>
    <row r="172">
      <c r="A172" s="2" t="inlineStr">
        <is>
          <t>22201.0</t>
        </is>
      </c>
      <c r="B172" s="2" t="inlineStr">
        <is>
          <t xml:space="preserve">COMPANHIA URBANIZADORA DA NOVA CAPITAL </t>
        </is>
      </c>
      <c r="C172" s="2" t="inlineStr">
        <is>
          <t>15.452.6209.8508.0002</t>
        </is>
      </c>
      <c r="D172" s="2" t="inlineStr">
        <is>
          <t>MANUTENÇÃO DE ÁREAS URBANIZADAS E AJARDINADAS-MANUTENÇÃO DE VIAS PÚBLICAS-DISTRITO FEDERAL</t>
        </is>
      </c>
      <c r="E172" s="2" t="inlineStr">
        <is>
          <t>449039</t>
        </is>
      </c>
      <c r="F172" s="2" t="inlineStr">
        <is>
          <t>100000000</t>
        </is>
      </c>
      <c r="G172" s="2" t="inlineStr">
        <is>
          <t>0</t>
        </is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4947392.53</v>
      </c>
      <c r="S172" s="3" t="n">
        <v>0</v>
      </c>
      <c r="T172" s="3" t="n">
        <v>0</v>
      </c>
      <c r="U172" s="3" t="n">
        <v>4947392.53</v>
      </c>
      <c r="V172" s="3" t="n">
        <v>4947392.53</v>
      </c>
      <c r="W172" s="3" t="n">
        <v>4947392.53</v>
      </c>
      <c r="X172" s="3" t="n">
        <v>0</v>
      </c>
      <c r="Y172" s="3" t="n">
        <v>4947392.53</v>
      </c>
    </row>
    <row r="173">
      <c r="A173" s="2" t="inlineStr">
        <is>
          <t>18101.0</t>
        </is>
      </c>
      <c r="B173" s="2" t="inlineStr">
        <is>
          <t>SECRETARIA DE ESTADO DE  EDUCAÇÃO DO DISTRITO FEDERAL</t>
        </is>
      </c>
      <c r="C173" s="2" t="inlineStr">
        <is>
          <t>12.453.6221.4202.0010</t>
        </is>
      </c>
      <c r="D173" s="2" t="inlineStr">
        <is>
          <t>CONCESSÃO DE PASSE LIVRE - PLE - OUTROS - DISTRITO FEDERAL</t>
        </is>
      </c>
      <c r="E173" s="2" t="inlineStr">
        <is>
          <t>339092</t>
        </is>
      </c>
      <c r="F173" s="2" t="inlineStr">
        <is>
          <t>100000000</t>
        </is>
      </c>
      <c r="G173" s="2" t="inlineStr">
        <is>
          <t>0</t>
        </is>
      </c>
      <c r="H173" s="3" t="n">
        <v>0</v>
      </c>
      <c r="I173" s="3" t="n">
        <v>100000000</v>
      </c>
      <c r="J173" s="3" t="n">
        <v>0</v>
      </c>
      <c r="K173" s="3" t="n">
        <v>0</v>
      </c>
      <c r="L173" s="3" t="n">
        <v>100000000</v>
      </c>
      <c r="M173" s="3" t="n">
        <v>99974586.14</v>
      </c>
      <c r="N173" s="3" t="n">
        <v>99974586.14</v>
      </c>
      <c r="O173" s="3" t="n">
        <v>25413.86</v>
      </c>
      <c r="P173" s="3" t="n">
        <v>100000000</v>
      </c>
      <c r="Q173" s="3" t="n">
        <v>0</v>
      </c>
      <c r="R173" s="3" t="n">
        <v>52463657</v>
      </c>
      <c r="S173" s="3" t="n">
        <v>0</v>
      </c>
      <c r="T173" s="3" t="n">
        <v>0</v>
      </c>
      <c r="U173" s="3" t="n">
        <v>52463657</v>
      </c>
      <c r="V173" s="3" t="n">
        <v>52463657</v>
      </c>
      <c r="W173" s="3" t="n">
        <v>52463657</v>
      </c>
      <c r="X173" s="3" t="n">
        <v>0</v>
      </c>
      <c r="Y173" s="3" t="n">
        <v>52463657</v>
      </c>
    </row>
    <row r="174">
      <c r="A174" s="2" t="inlineStr">
        <is>
          <t>22201.0</t>
        </is>
      </c>
      <c r="B174" s="2" t="inlineStr">
        <is>
          <t xml:space="preserve">COMPANHIA URBANIZADORA DA NOVA CAPITAL </t>
        </is>
      </c>
      <c r="C174" s="2" t="inlineStr">
        <is>
          <t>15.452.6209.8508.0002</t>
        </is>
      </c>
      <c r="D174" s="2" t="inlineStr">
        <is>
          <t>MANUTENÇÃO DE ÁREAS URBANIZADAS E AJARDINADAS-MANUTENÇÃO DE VIAS PÚBLICAS-DISTRITO FEDERAL</t>
        </is>
      </c>
      <c r="E174" s="2" t="inlineStr">
        <is>
          <t>339092</t>
        </is>
      </c>
      <c r="F174" s="2" t="inlineStr">
        <is>
          <t>100000000</t>
        </is>
      </c>
      <c r="G174" s="2" t="inlineStr">
        <is>
          <t>0</t>
        </is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84437128.09999999</v>
      </c>
      <c r="S174" s="3" t="n">
        <v>0</v>
      </c>
      <c r="T174" s="3" t="n">
        <v>0</v>
      </c>
      <c r="U174" s="3" t="n">
        <v>84437128.09999999</v>
      </c>
      <c r="V174" s="3" t="n">
        <v>84437128.09999999</v>
      </c>
      <c r="W174" s="3" t="n">
        <v>82102265.33</v>
      </c>
      <c r="X174" s="3" t="n">
        <v>0</v>
      </c>
      <c r="Y174" s="3" t="n">
        <v>84437128.09999999</v>
      </c>
    </row>
    <row r="175">
      <c r="A175" s="2" t="inlineStr">
        <is>
          <t>22214.0</t>
        </is>
      </c>
      <c r="B175" s="2" t="inlineStr">
        <is>
          <t xml:space="preserve">SERVIÇO DE LIMPEZA URBANA </t>
        </is>
      </c>
      <c r="C175" s="2" t="inlineStr">
        <is>
          <t>15.452.6209.2079.6118</t>
        </is>
      </c>
      <c r="D175" s="2" t="inlineStr">
        <is>
          <t>MANUTENÇÃO DAS ATIVIDADES DE LIMPEZA PÚBLICA--DISTRITO FEDERAL</t>
        </is>
      </c>
      <c r="E175" s="2" t="inlineStr">
        <is>
          <t>339030</t>
        </is>
      </c>
      <c r="F175" s="2" t="inlineStr">
        <is>
          <t>321000000</t>
        </is>
      </c>
      <c r="G175" s="2" t="inlineStr">
        <is>
          <t>0</t>
        </is>
      </c>
      <c r="H175" s="3" t="n">
        <v>0</v>
      </c>
      <c r="I175" s="3" t="n">
        <v>2000000</v>
      </c>
      <c r="J175" s="3" t="n">
        <v>2000000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2000000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</row>
    <row r="176">
      <c r="A176" s="2" t="inlineStr">
        <is>
          <t>26206.0</t>
        </is>
      </c>
      <c r="B176" s="2" t="inlineStr">
        <is>
          <t>COMPANHIA DO METROPOLITANO DO DISTRITO FEDERAL</t>
        </is>
      </c>
      <c r="C176" s="2" t="inlineStr">
        <is>
          <t>26.453.6216.2756.6137</t>
        </is>
      </c>
      <c r="D176" s="2" t="inlineStr">
        <is>
          <t>MANUTENÇÃO E FUNCIONAMENTO DO SISTEMA FERROVIÁRIO-DF</t>
        </is>
      </c>
      <c r="E176" s="2" t="inlineStr">
        <is>
          <t>339030</t>
        </is>
      </c>
      <c r="F176" s="2" t="inlineStr">
        <is>
          <t>100000000</t>
        </is>
      </c>
      <c r="G176" s="2" t="inlineStr">
        <is>
          <t>0</t>
        </is>
      </c>
      <c r="H176" s="3" t="n">
        <v>0</v>
      </c>
      <c r="I176" s="3" t="n">
        <v>1078610.63</v>
      </c>
      <c r="J176" s="3" t="n">
        <v>841.1</v>
      </c>
      <c r="K176" s="3" t="n">
        <v>0</v>
      </c>
      <c r="L176" s="3" t="n">
        <v>1077769.53</v>
      </c>
      <c r="M176" s="3" t="n">
        <v>1077769.53</v>
      </c>
      <c r="N176" s="3" t="n">
        <v>1076140.7</v>
      </c>
      <c r="O176" s="3" t="n">
        <v>0</v>
      </c>
      <c r="P176" s="3" t="n">
        <v>1078610.63</v>
      </c>
      <c r="Q176" s="3" t="n">
        <v>21130895</v>
      </c>
      <c r="R176" s="3" t="n">
        <v>-20545767.27</v>
      </c>
      <c r="S176" s="3" t="n">
        <v>0.73</v>
      </c>
      <c r="T176" s="3" t="n">
        <v>0</v>
      </c>
      <c r="U176" s="3" t="n">
        <v>585127</v>
      </c>
      <c r="V176" s="3" t="n">
        <v>585127</v>
      </c>
      <c r="W176" s="3" t="n">
        <v>504691.31</v>
      </c>
      <c r="X176" s="3" t="n">
        <v>0</v>
      </c>
      <c r="Y176" s="3" t="n">
        <v>585127.73</v>
      </c>
    </row>
    <row r="177">
      <c r="A177" s="2" t="inlineStr">
        <is>
          <t>26101.0</t>
        </is>
      </c>
      <c r="B177" s="2" t="inlineStr">
        <is>
          <t>SECRETARIA DE ESTADO DE TRANSPORTE E MOBILIDADE DO DISTRITO FEDERAL</t>
        </is>
      </c>
      <c r="C177" s="2" t="inlineStr">
        <is>
          <t>26.453.6216.2455.0002</t>
        </is>
      </c>
      <c r="D177" s="2" t="inlineStr">
        <is>
          <t>MANUTENÇÃO DO EQUILÍBRIO FINANCEIRO DO SISTEMA DE TRANSPORTE PÚBLICO COLETIVO - STPC--DISTRITO FEDERAL</t>
        </is>
      </c>
      <c r="E177" s="2" t="inlineStr">
        <is>
          <t>339039</t>
        </is>
      </c>
      <c r="F177" s="2" t="inlineStr">
        <is>
          <t>197000000</t>
        </is>
      </c>
      <c r="G177" s="2" t="inlineStr">
        <is>
          <t>0</t>
        </is>
      </c>
      <c r="H177" s="3" t="n">
        <v>1024389</v>
      </c>
      <c r="I177" s="3" t="n">
        <v>55654257</v>
      </c>
      <c r="J177" s="3" t="n">
        <v>0</v>
      </c>
      <c r="K177" s="3" t="n">
        <v>0</v>
      </c>
      <c r="L177" s="3" t="n">
        <v>56678646</v>
      </c>
      <c r="M177" s="3" t="n">
        <v>55654256</v>
      </c>
      <c r="N177" s="3" t="n">
        <v>55654256</v>
      </c>
      <c r="O177" s="3" t="n">
        <v>1024390</v>
      </c>
      <c r="P177" s="3" t="n">
        <v>56678646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</row>
    <row r="178">
      <c r="A178" s="2" t="inlineStr">
        <is>
          <t>26205.0</t>
        </is>
      </c>
      <c r="B178" s="2" t="inlineStr">
        <is>
          <t>DEPARTAMENTO DE ESTRADAS DE RODAGEM</t>
        </is>
      </c>
      <c r="C178" s="2" t="inlineStr">
        <is>
          <t>26.782.6216.4195.0001</t>
        </is>
      </c>
      <c r="D178" s="2" t="inlineStr">
        <is>
          <t>CONSERVAÇÃO DE  RODOVIAS-PREVENTIVA E CORRETIVA-DER-DF-DISTRITO FEDERAL</t>
        </is>
      </c>
      <c r="E178" s="2" t="inlineStr">
        <is>
          <t>339092</t>
        </is>
      </c>
      <c r="F178" s="2" t="inlineStr">
        <is>
          <t>161000000</t>
        </is>
      </c>
      <c r="G178" s="2" t="inlineStr">
        <is>
          <t>0</t>
        </is>
      </c>
      <c r="H178" s="3" t="n">
        <v>0</v>
      </c>
      <c r="I178" s="3" t="n">
        <v>128632</v>
      </c>
      <c r="J178" s="3" t="n">
        <v>0</v>
      </c>
      <c r="K178" s="3" t="n">
        <v>0</v>
      </c>
      <c r="L178" s="3" t="n">
        <v>128632</v>
      </c>
      <c r="M178" s="3" t="n">
        <v>128631.82</v>
      </c>
      <c r="N178" s="3" t="n">
        <v>128631.82</v>
      </c>
      <c r="O178" s="3" t="n">
        <v>0.18</v>
      </c>
      <c r="P178" s="3" t="n">
        <v>128632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</row>
    <row r="179">
      <c r="A179" s="2" t="inlineStr">
        <is>
          <t>23901.0</t>
        </is>
      </c>
      <c r="B179" s="2" t="inlineStr">
        <is>
          <t>FUNDO DE SAÚDE DO DISTRITO FEDERAL</t>
        </is>
      </c>
      <c r="C179" s="2" t="inlineStr">
        <is>
          <t>10.302.6202.4206.0001</t>
        </is>
      </c>
      <c r="D179" s="2" t="inlineStr">
        <is>
          <t>EXECUÇÃO DE CONTRATOS DE GESTÃO - INSTITUTO DE GESTÃO ESTRATÉGICA DE SAÚDE DO DISTRITO FEDERAL - DISTRITO FEDERAL</t>
        </is>
      </c>
      <c r="E179" s="2" t="inlineStr">
        <is>
          <t>335085</t>
        </is>
      </c>
      <c r="F179" s="2" t="inlineStr">
        <is>
          <t>838000000</t>
        </is>
      </c>
      <c r="G179" s="2" t="inlineStr">
        <is>
          <t>0</t>
        </is>
      </c>
      <c r="H179" s="3" t="n">
        <v>0</v>
      </c>
      <c r="I179" s="3" t="n">
        <v>6054018</v>
      </c>
      <c r="J179" s="3" t="n">
        <v>0</v>
      </c>
      <c r="K179" s="3" t="n">
        <v>0</v>
      </c>
      <c r="L179" s="3" t="n">
        <v>6054018</v>
      </c>
      <c r="M179" s="3" t="n">
        <v>6054018</v>
      </c>
      <c r="N179" s="3" t="n">
        <v>6054018</v>
      </c>
      <c r="O179" s="3" t="n">
        <v>0</v>
      </c>
      <c r="P179" s="3" t="n">
        <v>6054018</v>
      </c>
      <c r="Q179" s="3" t="n">
        <v>0</v>
      </c>
      <c r="R179" s="3" t="n">
        <v>71926</v>
      </c>
      <c r="S179" s="3" t="n">
        <v>0</v>
      </c>
      <c r="T179" s="3" t="n">
        <v>0</v>
      </c>
      <c r="U179" s="3" t="n">
        <v>71926</v>
      </c>
      <c r="V179" s="3" t="n">
        <v>0</v>
      </c>
      <c r="W179" s="3" t="n">
        <v>0</v>
      </c>
      <c r="X179" s="3" t="n">
        <v>71926</v>
      </c>
      <c r="Y179" s="3" t="n">
        <v>71926</v>
      </c>
    </row>
    <row r="180">
      <c r="A180" s="2" t="inlineStr">
        <is>
          <t>22201.0</t>
        </is>
      </c>
      <c r="B180" s="2" t="inlineStr">
        <is>
          <t xml:space="preserve">COMPANHIA URBANIZADORA DA NOVA CAPITAL </t>
        </is>
      </c>
      <c r="C180" s="2" t="inlineStr">
        <is>
          <t>17.512.6209.2903.0001</t>
        </is>
      </c>
      <c r="D180" s="2" t="inlineStr">
        <is>
          <t>MANUTENÇÃO DE REDES DE ÁGUAS PLUVIAIS--DISTRITO FEDERAL</t>
        </is>
      </c>
      <c r="E180" s="2" t="inlineStr">
        <is>
          <t>339039</t>
        </is>
      </c>
      <c r="F180" s="2" t="inlineStr">
        <is>
          <t>161000000</t>
        </is>
      </c>
      <c r="G180" s="2" t="inlineStr">
        <is>
          <t>0</t>
        </is>
      </c>
      <c r="H180" s="3" t="n">
        <v>0</v>
      </c>
      <c r="I180" s="3" t="n">
        <v>83420068</v>
      </c>
      <c r="J180" s="3" t="n">
        <v>0</v>
      </c>
      <c r="K180" s="3" t="n">
        <v>0</v>
      </c>
      <c r="L180" s="3" t="n">
        <v>83420068</v>
      </c>
      <c r="M180" s="3" t="n">
        <v>83420068</v>
      </c>
      <c r="N180" s="3" t="n">
        <v>83420068</v>
      </c>
      <c r="O180" s="3" t="n">
        <v>0</v>
      </c>
      <c r="P180" s="3" t="n">
        <v>83420068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</row>
    <row r="181">
      <c r="A181" s="2" t="inlineStr">
        <is>
          <t>26206.0</t>
        </is>
      </c>
      <c r="B181" s="2" t="inlineStr">
        <is>
          <t>COMPANHIA DO METROPOLITANO DO DISTRITO FEDERAL</t>
        </is>
      </c>
      <c r="C181" s="2" t="inlineStr">
        <is>
          <t>26.453.6216.2756.6137</t>
        </is>
      </c>
      <c r="D181" s="2" t="inlineStr">
        <is>
          <t>MANUTENÇÃO E FUNCIONAMENTO DO SISTEMA FERROVIÁRIO-DF</t>
        </is>
      </c>
      <c r="E181" s="2" t="inlineStr">
        <is>
          <t>339037</t>
        </is>
      </c>
      <c r="F181" s="2" t="inlineStr">
        <is>
          <t>100000000</t>
        </is>
      </c>
      <c r="G181" s="2" t="inlineStr">
        <is>
          <t>0</t>
        </is>
      </c>
      <c r="H181" s="3" t="n">
        <v>0</v>
      </c>
      <c r="I181" s="3" t="n">
        <v>10515440.46</v>
      </c>
      <c r="J181" s="3" t="n">
        <v>145</v>
      </c>
      <c r="K181" s="3" t="n">
        <v>0</v>
      </c>
      <c r="L181" s="3" t="n">
        <v>10515295.46</v>
      </c>
      <c r="M181" s="3" t="n">
        <v>10515295.46</v>
      </c>
      <c r="N181" s="3" t="n">
        <v>10499684.51</v>
      </c>
      <c r="O181" s="3" t="n">
        <v>0</v>
      </c>
      <c r="P181" s="3" t="n">
        <v>10515440.46</v>
      </c>
      <c r="Q181" s="3" t="n">
        <v>7023116</v>
      </c>
      <c r="R181" s="3" t="n">
        <v>8308231.38</v>
      </c>
      <c r="S181" s="3" t="n">
        <v>1345552.92</v>
      </c>
      <c r="T181" s="3" t="n">
        <v>0</v>
      </c>
      <c r="U181" s="3" t="n">
        <v>13985794.46</v>
      </c>
      <c r="V181" s="3" t="n">
        <v>13985794.46</v>
      </c>
      <c r="W181" s="3" t="n">
        <v>11619231.8</v>
      </c>
      <c r="X181" s="3" t="n">
        <v>0</v>
      </c>
      <c r="Y181" s="3" t="n">
        <v>15331347.38</v>
      </c>
    </row>
    <row r="182">
      <c r="A182" s="2" t="inlineStr">
        <is>
          <t>22201.0</t>
        </is>
      </c>
      <c r="B182" s="2" t="inlineStr">
        <is>
          <t xml:space="preserve">COMPANHIA URBANIZADORA DA NOVA CAPITAL </t>
        </is>
      </c>
      <c r="C182" s="2" t="inlineStr">
        <is>
          <t>15.452.6209.8508.0002</t>
        </is>
      </c>
      <c r="D182" s="2" t="inlineStr">
        <is>
          <t>MANUTENÇÃO DE ÁREAS URBANIZADAS E AJARDINADAS-MANUTENÇÃO DE VIAS PÚBLICAS-DISTRITO FEDERAL</t>
        </is>
      </c>
      <c r="E182" s="2" t="inlineStr">
        <is>
          <t>339030</t>
        </is>
      </c>
      <c r="F182" s="2" t="inlineStr">
        <is>
          <t>100000000</t>
        </is>
      </c>
      <c r="G182" s="2" t="inlineStr">
        <is>
          <t>1</t>
        </is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42000000</v>
      </c>
      <c r="R182" s="3" t="n">
        <v>-42000000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</row>
    <row r="183">
      <c r="A183" s="2" t="inlineStr">
        <is>
          <t>19101.0</t>
        </is>
      </c>
      <c r="B183" s="2" t="inlineStr">
        <is>
          <t xml:space="preserve">SECRETARIA DE ESTADO DE ECONOMIA  DO DISTRITO FEDERAL                                                                                                 </t>
        </is>
      </c>
      <c r="C183" s="2" t="inlineStr">
        <is>
          <t>04.122.8203.2984.0001</t>
        </is>
      </c>
      <c r="D183" s="2" t="inlineStr">
        <is>
          <t>MANUTENÇÃO DA FROTA OFICIAL DE VEÍCULOS-DISTRITO FEDERAL-DISTRITO FEDERAL</t>
        </is>
      </c>
      <c r="E183" s="2" t="inlineStr">
        <is>
          <t>339139</t>
        </is>
      </c>
      <c r="F183" s="2" t="inlineStr">
        <is>
          <t>183000000</t>
        </is>
      </c>
      <c r="G183" s="2" t="inlineStr">
        <is>
          <t>0</t>
        </is>
      </c>
      <c r="H183" s="3" t="n">
        <v>10000</v>
      </c>
      <c r="I183" s="3" t="n">
        <v>0</v>
      </c>
      <c r="J183" s="3" t="n">
        <v>0</v>
      </c>
      <c r="K183" s="3" t="n">
        <v>0</v>
      </c>
      <c r="L183" s="3" t="n">
        <v>10000</v>
      </c>
      <c r="M183" s="3" t="n">
        <v>291.32</v>
      </c>
      <c r="N183" s="3" t="n">
        <v>291.32</v>
      </c>
      <c r="O183" s="3" t="n">
        <v>9708.68</v>
      </c>
      <c r="P183" s="3" t="n">
        <v>10000</v>
      </c>
      <c r="Q183" s="3" t="n">
        <v>20000</v>
      </c>
      <c r="R183" s="3" t="n">
        <v>0</v>
      </c>
      <c r="S183" s="3" t="n">
        <v>7983</v>
      </c>
      <c r="T183" s="3" t="n">
        <v>11600</v>
      </c>
      <c r="U183" s="3" t="n">
        <v>417</v>
      </c>
      <c r="V183" s="3" t="n">
        <v>416.52</v>
      </c>
      <c r="W183" s="3" t="n">
        <v>416.52</v>
      </c>
      <c r="X183" s="3" t="n">
        <v>0.48</v>
      </c>
      <c r="Y183" s="3" t="n">
        <v>20000</v>
      </c>
    </row>
    <row r="184">
      <c r="A184" s="2" t="inlineStr">
        <is>
          <t>19101.0</t>
        </is>
      </c>
      <c r="B184" s="2" t="inlineStr">
        <is>
          <t xml:space="preserve">SECRETARIA DE ESTADO DE ECONOMIA  DO DISTRITO FEDERAL                                                                                                 </t>
        </is>
      </c>
      <c r="C184" s="2" t="inlineStr">
        <is>
          <t>04.122.8203.2990.0006</t>
        </is>
      </c>
      <c r="D184" s="2" t="inlineStr">
        <is>
          <t>MANUTENÇÃO DE BENS IMÓVEIS DO GDF-VIGILÂNCIA-DISTRITO FEDERAL</t>
        </is>
      </c>
      <c r="E184" s="2" t="inlineStr">
        <is>
          <t>339092</t>
        </is>
      </c>
      <c r="F184" s="2" t="inlineStr">
        <is>
          <t>100000000</t>
        </is>
      </c>
      <c r="G184" s="2" t="inlineStr">
        <is>
          <t>0</t>
        </is>
      </c>
      <c r="H184" s="3" t="n">
        <v>0</v>
      </c>
      <c r="I184" s="3" t="n">
        <v>3390182</v>
      </c>
      <c r="J184" s="3" t="n">
        <v>0.42</v>
      </c>
      <c r="K184" s="3" t="n">
        <v>0</v>
      </c>
      <c r="L184" s="3" t="n">
        <v>3390181.58</v>
      </c>
      <c r="M184" s="3" t="n">
        <v>3390181.58</v>
      </c>
      <c r="N184" s="3" t="n">
        <v>3390181.58</v>
      </c>
      <c r="O184" s="3" t="n">
        <v>0</v>
      </c>
      <c r="P184" s="3" t="n">
        <v>3390182</v>
      </c>
      <c r="Q184" s="3" t="n">
        <v>0</v>
      </c>
      <c r="R184" s="3" t="n">
        <v>103000000</v>
      </c>
      <c r="S184" s="3" t="n">
        <v>8548633.51</v>
      </c>
      <c r="T184" s="3" t="n">
        <v>999.98</v>
      </c>
      <c r="U184" s="3" t="n">
        <v>94450366.51000001</v>
      </c>
      <c r="V184" s="3" t="n">
        <v>94450366.51000001</v>
      </c>
      <c r="W184" s="3" t="n">
        <v>94450366.51000001</v>
      </c>
      <c r="X184" s="3" t="n">
        <v>0</v>
      </c>
      <c r="Y184" s="3" t="n">
        <v>103000000</v>
      </c>
    </row>
    <row r="185">
      <c r="A185" s="2" t="inlineStr">
        <is>
          <t>64101.0</t>
        </is>
      </c>
      <c r="B185" s="2" t="inlineStr">
        <is>
          <t xml:space="preserve">SECRETARIA DE ESTADO ADMINISTRAÇÃO PENITENCIÁRIA DO DISTRITO FEDERAL </t>
        </is>
      </c>
      <c r="C185" s="2" t="inlineStr">
        <is>
          <t>06.421.6217.2727.0006</t>
        </is>
      </c>
      <c r="D185" s="2" t="inlineStr">
        <is>
          <t>MANUTENÇÃO DO SISTEMA PENITENCIÁRIO DO DF- MANUTENÇÃO DO SISTEMA PENITENCIÁRIO DO DF-DISTRITO FEDERAL</t>
        </is>
      </c>
      <c r="E185" s="2" t="inlineStr">
        <is>
          <t>339030</t>
        </is>
      </c>
      <c r="F185" s="2" t="inlineStr">
        <is>
          <t>100000000</t>
        </is>
      </c>
      <c r="G185" s="2" t="inlineStr">
        <is>
          <t>0</t>
        </is>
      </c>
      <c r="H185" s="3" t="n">
        <v>6000000</v>
      </c>
      <c r="I185" s="3" t="n">
        <v>3272583</v>
      </c>
      <c r="J185" s="3" t="n">
        <v>0</v>
      </c>
      <c r="K185" s="3" t="n">
        <v>0</v>
      </c>
      <c r="L185" s="3" t="n">
        <v>9272583</v>
      </c>
      <c r="M185" s="3" t="n">
        <v>9271142.810000001</v>
      </c>
      <c r="N185" s="3" t="n">
        <v>9191494.380000001</v>
      </c>
      <c r="O185" s="3" t="n">
        <v>1440.19</v>
      </c>
      <c r="P185" s="3" t="n">
        <v>9272583</v>
      </c>
      <c r="Q185" s="3" t="n">
        <v>13500000</v>
      </c>
      <c r="R185" s="3" t="n">
        <v>-538635.26</v>
      </c>
      <c r="S185" s="3" t="n">
        <v>2849162.73</v>
      </c>
      <c r="T185" s="3" t="n">
        <v>0.59</v>
      </c>
      <c r="U185" s="3" t="n">
        <v>10112201.42</v>
      </c>
      <c r="V185" s="3" t="n">
        <v>10111970.48</v>
      </c>
      <c r="W185" s="3" t="n">
        <v>5074523.28</v>
      </c>
      <c r="X185" s="3" t="n">
        <v>230.94</v>
      </c>
      <c r="Y185" s="3" t="n">
        <v>12961364.74</v>
      </c>
    </row>
    <row r="186">
      <c r="A186" s="2" t="inlineStr">
        <is>
          <t>22201.0</t>
        </is>
      </c>
      <c r="B186" s="2" t="inlineStr">
        <is>
          <t xml:space="preserve">COMPANHIA URBANIZADORA DA NOVA CAPITAL </t>
        </is>
      </c>
      <c r="C186" s="2" t="inlineStr">
        <is>
          <t>15.452.6209.8508.0002</t>
        </is>
      </c>
      <c r="D186" s="2" t="inlineStr">
        <is>
          <t>MANUTENÇÃO DE ÁREAS URBANIZADAS E AJARDINADAS-MANUTENÇÃO DE VIAS PÚBLICAS-DISTRITO FEDERAL</t>
        </is>
      </c>
      <c r="E186" s="2" t="inlineStr">
        <is>
          <t>449052</t>
        </is>
      </c>
      <c r="F186" s="2" t="inlineStr">
        <is>
          <t>100000000</t>
        </is>
      </c>
      <c r="G186" s="2" t="inlineStr">
        <is>
          <t>0</t>
        </is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375936.77</v>
      </c>
      <c r="S186" s="3" t="n">
        <v>0</v>
      </c>
      <c r="T186" s="3" t="n">
        <v>0</v>
      </c>
      <c r="U186" s="3" t="n">
        <v>375936.77</v>
      </c>
      <c r="V186" s="3" t="n">
        <v>0</v>
      </c>
      <c r="W186" s="3" t="n">
        <v>0</v>
      </c>
      <c r="X186" s="3" t="n">
        <v>375936.77</v>
      </c>
      <c r="Y186" s="3" t="n">
        <v>375936.77</v>
      </c>
    </row>
    <row r="187">
      <c r="A187" s="2" t="inlineStr">
        <is>
          <t>26101.0</t>
        </is>
      </c>
      <c r="B187" s="2" t="inlineStr">
        <is>
          <t>SECRETARIA DE ESTADO DE TRANSPORTE E MOBILIDADE DO DISTRITO FEDERAL</t>
        </is>
      </c>
      <c r="C187" s="2" t="inlineStr">
        <is>
          <t>26.453.6216.2455.0001</t>
        </is>
      </c>
      <c r="D187" s="2" t="inlineStr">
        <is>
          <t>MANUTENÇÃO DO EQUILÍBRIO FINANCEIRO DO SISTEMA DE TRANSPORTE PÚBLICO COLETIVO - STPC - Sistema de Transporte Público Complementar Rural - DISTRITO FEDERAL</t>
        </is>
      </c>
      <c r="E187" s="2" t="inlineStr">
        <is>
          <t>339048</t>
        </is>
      </c>
      <c r="F187" s="2" t="inlineStr">
        <is>
          <t>100000000</t>
        </is>
      </c>
      <c r="G187" s="2" t="inlineStr">
        <is>
          <t>0</t>
        </is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14831053.84</v>
      </c>
      <c r="S187" s="3" t="n">
        <v>0</v>
      </c>
      <c r="T187" s="3" t="n">
        <v>0</v>
      </c>
      <c r="U187" s="3" t="n">
        <v>14831053.84</v>
      </c>
      <c r="V187" s="3" t="n">
        <v>7248188.83</v>
      </c>
      <c r="W187" s="3" t="n">
        <v>1141220.5</v>
      </c>
      <c r="X187" s="3" t="n">
        <v>7582865.01</v>
      </c>
      <c r="Y187" s="3" t="n">
        <v>14831053.84</v>
      </c>
    </row>
    <row r="188">
      <c r="A188" s="2" t="inlineStr">
        <is>
          <t>26205.0</t>
        </is>
      </c>
      <c r="B188" s="2" t="inlineStr">
        <is>
          <t>DEPARTAMENTO DE ESTRADAS DE RODAGEM</t>
        </is>
      </c>
      <c r="C188" s="2" t="inlineStr">
        <is>
          <t>26.782.6216.4195.0001</t>
        </is>
      </c>
      <c r="D188" s="2" t="inlineStr">
        <is>
          <t>CONSERVAÇÃO DE  RODOVIAS-PREVENTIVA E CORRETIVA-DER-DF-DISTRITO FEDERAL</t>
        </is>
      </c>
      <c r="E188" s="2" t="inlineStr">
        <is>
          <t>339037</t>
        </is>
      </c>
      <c r="F188" s="2" t="inlineStr">
        <is>
          <t>100000000</t>
        </is>
      </c>
      <c r="G188" s="2" t="inlineStr">
        <is>
          <t>0</t>
        </is>
      </c>
      <c r="H188" s="3" t="n">
        <v>0</v>
      </c>
      <c r="I188" s="3" t="n">
        <v>13637595</v>
      </c>
      <c r="J188" s="3" t="n">
        <v>0.6</v>
      </c>
      <c r="K188" s="3" t="n">
        <v>0</v>
      </c>
      <c r="L188" s="3" t="n">
        <v>13637594.4</v>
      </c>
      <c r="M188" s="3" t="n">
        <v>13637594.4</v>
      </c>
      <c r="N188" s="3" t="n">
        <v>13637594.4</v>
      </c>
      <c r="O188" s="3" t="n">
        <v>0</v>
      </c>
      <c r="P188" s="3" t="n">
        <v>13637595</v>
      </c>
      <c r="Q188" s="3" t="n">
        <v>9500000</v>
      </c>
      <c r="R188" s="3" t="n">
        <v>7947679.41</v>
      </c>
      <c r="S188" s="3" t="n">
        <v>0</v>
      </c>
      <c r="T188" s="3" t="n">
        <v>0</v>
      </c>
      <c r="U188" s="3" t="n">
        <v>17447679.41</v>
      </c>
      <c r="V188" s="3" t="n">
        <v>13234678.96</v>
      </c>
      <c r="W188" s="3" t="n">
        <v>9943321.720000001</v>
      </c>
      <c r="X188" s="3" t="n">
        <v>4213000.45</v>
      </c>
      <c r="Y188" s="3" t="n">
        <v>17447679.41</v>
      </c>
    </row>
    <row r="189">
      <c r="A189" s="2" t="inlineStr">
        <is>
          <t>26205.0</t>
        </is>
      </c>
      <c r="B189" s="2" t="inlineStr">
        <is>
          <t>DEPARTAMENTO DE ESTRADAS DE RODAGEM</t>
        </is>
      </c>
      <c r="C189" s="2" t="inlineStr">
        <is>
          <t>26.782.6216.4195.0001</t>
        </is>
      </c>
      <c r="D189" s="2" t="inlineStr">
        <is>
          <t>CONSERVAÇÃO DE  RODOVIAS-PREVENTIVA E CORRETIVA-DER-DF-DISTRITO FEDERAL</t>
        </is>
      </c>
      <c r="E189" s="2" t="inlineStr">
        <is>
          <t>339037</t>
        </is>
      </c>
      <c r="F189" s="2" t="inlineStr">
        <is>
          <t>437000000</t>
        </is>
      </c>
      <c r="G189" s="2" t="inlineStr">
        <is>
          <t>0</t>
        </is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550000</v>
      </c>
      <c r="S189" s="3" t="n">
        <v>0</v>
      </c>
      <c r="T189" s="3" t="n">
        <v>0</v>
      </c>
      <c r="U189" s="3" t="n">
        <v>550000</v>
      </c>
      <c r="V189" s="3" t="n">
        <v>550000</v>
      </c>
      <c r="W189" s="3" t="n">
        <v>550000</v>
      </c>
      <c r="X189" s="3" t="n">
        <v>0</v>
      </c>
      <c r="Y189" s="3" t="n">
        <v>550000</v>
      </c>
    </row>
    <row r="190">
      <c r="A190" s="2" t="inlineStr">
        <is>
          <t>26206.0</t>
        </is>
      </c>
      <c r="B190" s="2" t="inlineStr">
        <is>
          <t>COMPANHIA DO METROPOLITANO DO DISTRITO FEDERAL</t>
        </is>
      </c>
      <c r="C190" s="2" t="inlineStr">
        <is>
          <t>26.453.6216.2756.6137</t>
        </is>
      </c>
      <c r="D190" s="2" t="inlineStr">
        <is>
          <t>MANUTENÇÃO E FUNCIONAMENTO DO SISTEMA FERROVIÁRIO-DF</t>
        </is>
      </c>
      <c r="E190" s="2" t="inlineStr">
        <is>
          <t>339037</t>
        </is>
      </c>
      <c r="F190" s="2" t="inlineStr">
        <is>
          <t>183000000</t>
        </is>
      </c>
      <c r="G190" s="2" t="inlineStr">
        <is>
          <t>0</t>
        </is>
      </c>
      <c r="H190" s="3" t="n">
        <v>0</v>
      </c>
      <c r="I190" s="3" t="n">
        <v>6646739.13</v>
      </c>
      <c r="J190" s="3" t="n">
        <v>0</v>
      </c>
      <c r="K190" s="3" t="n">
        <v>0</v>
      </c>
      <c r="L190" s="3" t="n">
        <v>6646739.13</v>
      </c>
      <c r="M190" s="3" t="n">
        <v>6646739.13</v>
      </c>
      <c r="N190" s="3" t="n">
        <v>6646739.13</v>
      </c>
      <c r="O190" s="3" t="n">
        <v>0</v>
      </c>
      <c r="P190" s="3" t="n">
        <v>6646739.13</v>
      </c>
      <c r="Q190" s="3" t="n">
        <v>0</v>
      </c>
      <c r="R190" s="3" t="n">
        <v>20</v>
      </c>
      <c r="S190" s="3" t="n">
        <v>0</v>
      </c>
      <c r="T190" s="3" t="n">
        <v>0</v>
      </c>
      <c r="U190" s="3" t="n">
        <v>20</v>
      </c>
      <c r="V190" s="3" t="n">
        <v>20</v>
      </c>
      <c r="W190" s="3" t="n">
        <v>20</v>
      </c>
      <c r="X190" s="3" t="n">
        <v>0</v>
      </c>
      <c r="Y190" s="3" t="n">
        <v>20</v>
      </c>
    </row>
    <row r="191">
      <c r="A191" s="2" t="inlineStr">
        <is>
          <t>19101.0</t>
        </is>
      </c>
      <c r="B191" s="2" t="inlineStr">
        <is>
          <t xml:space="preserve">SECRETARIA DE ESTADO DE ECONOMIA  DO DISTRITO FEDERAL                                                                                                 </t>
        </is>
      </c>
      <c r="C191" s="2" t="inlineStr">
        <is>
          <t>04.122.8203.2990.0006</t>
        </is>
      </c>
      <c r="D191" s="2" t="inlineStr">
        <is>
          <t>MANUTENÇÃO DE BENS IMÓVEIS DO GDF-VIGILÂNCIA-DISTRITO FEDERAL</t>
        </is>
      </c>
      <c r="E191" s="2" t="inlineStr">
        <is>
          <t>339037</t>
        </is>
      </c>
      <c r="F191" s="2" t="inlineStr">
        <is>
          <t>161000000</t>
        </is>
      </c>
      <c r="G191" s="2" t="inlineStr">
        <is>
          <t>0</t>
        </is>
      </c>
      <c r="H191" s="3" t="n">
        <v>0</v>
      </c>
      <c r="I191" s="3" t="n">
        <v>80790300</v>
      </c>
      <c r="J191" s="3" t="n">
        <v>0</v>
      </c>
      <c r="K191" s="3" t="n">
        <v>0</v>
      </c>
      <c r="L191" s="3" t="n">
        <v>80790300</v>
      </c>
      <c r="M191" s="3" t="n">
        <v>80790300</v>
      </c>
      <c r="N191" s="3" t="n">
        <v>80219118.25</v>
      </c>
      <c r="O191" s="3" t="n">
        <v>0</v>
      </c>
      <c r="P191" s="3" t="n">
        <v>80790300</v>
      </c>
      <c r="Q191" s="3" t="n">
        <v>22043700</v>
      </c>
      <c r="R191" s="3" t="n">
        <v>0</v>
      </c>
      <c r="S191" s="3" t="n">
        <v>0</v>
      </c>
      <c r="T191" s="3" t="n">
        <v>0</v>
      </c>
      <c r="U191" s="3" t="n">
        <v>22043700</v>
      </c>
      <c r="V191" s="3" t="n">
        <v>22043700</v>
      </c>
      <c r="W191" s="3" t="n">
        <v>22043700</v>
      </c>
      <c r="X191" s="3" t="n">
        <v>0</v>
      </c>
      <c r="Y191" s="3" t="n">
        <v>22043700</v>
      </c>
    </row>
    <row r="192">
      <c r="A192" s="2" t="inlineStr">
        <is>
          <t>64101.0</t>
        </is>
      </c>
      <c r="B192" s="2" t="inlineStr">
        <is>
          <t xml:space="preserve">SECRETARIA DE ESTADO ADMINISTRAÇÃO PENITENCIÁRIA DO DISTRITO FEDERAL </t>
        </is>
      </c>
      <c r="C192" s="2" t="inlineStr">
        <is>
          <t>06.421.6217.2727.0006</t>
        </is>
      </c>
      <c r="D192" s="2" t="inlineStr">
        <is>
          <t>MANUTENÇÃO DO SISTEMA PENITENCIÁRIO DO DF- MANUTENÇÃO DO SISTEMA PENITENCIÁRIO DO DF-DISTRITO FEDERAL</t>
        </is>
      </c>
      <c r="E192" s="2" t="inlineStr">
        <is>
          <t>339039</t>
        </is>
      </c>
      <c r="F192" s="2" t="inlineStr">
        <is>
          <t>161000000</t>
        </is>
      </c>
      <c r="G192" s="2" t="inlineStr">
        <is>
          <t>0</t>
        </is>
      </c>
      <c r="H192" s="3" t="n">
        <v>0</v>
      </c>
      <c r="I192" s="3" t="n">
        <v>12130000</v>
      </c>
      <c r="J192" s="3" t="n">
        <v>0</v>
      </c>
      <c r="K192" s="3" t="n">
        <v>0</v>
      </c>
      <c r="L192" s="3" t="n">
        <v>12130000</v>
      </c>
      <c r="M192" s="3" t="n">
        <v>12130000</v>
      </c>
      <c r="N192" s="3" t="n">
        <v>11010912.12</v>
      </c>
      <c r="O192" s="3" t="n">
        <v>0</v>
      </c>
      <c r="P192" s="3" t="n">
        <v>12130000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</row>
    <row r="193">
      <c r="A193" s="2" t="inlineStr">
        <is>
          <t>17101.0</t>
        </is>
      </c>
      <c r="B193" s="2" t="inlineStr">
        <is>
          <t xml:space="preserve">SECRETARIA DE ESTADO DE DESENVOLVIMENTO  SOCIAL DO DISTRITO FEDERAL                                                                                   </t>
        </is>
      </c>
      <c r="C193" s="2" t="inlineStr">
        <is>
          <t>08.244.6228.4272.0001</t>
        </is>
      </c>
      <c r="D193" s="2" t="inlineStr">
        <is>
          <t>CONCESSÃO DO PROGRAMA SOCIAL CARTÃO PRATO CHEIO--DISTRITO FEDERAL</t>
        </is>
      </c>
      <c r="E193" s="2" t="inlineStr">
        <is>
          <t>339048</t>
        </is>
      </c>
      <c r="F193" s="2" t="inlineStr">
        <is>
          <t>183000000</t>
        </is>
      </c>
      <c r="G193" s="2" t="inlineStr">
        <is>
          <t>0</t>
        </is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6090</v>
      </c>
      <c r="R193" s="3" t="n">
        <v>0</v>
      </c>
      <c r="S193" s="3" t="n">
        <v>0</v>
      </c>
      <c r="T193" s="3" t="n">
        <v>0</v>
      </c>
      <c r="U193" s="3" t="n">
        <v>6090</v>
      </c>
      <c r="V193" s="3" t="n">
        <v>6090</v>
      </c>
      <c r="W193" s="3" t="n">
        <v>6090</v>
      </c>
      <c r="X193" s="3" t="n">
        <v>0</v>
      </c>
      <c r="Y193" s="3" t="n">
        <v>6090</v>
      </c>
    </row>
    <row r="194">
      <c r="A194" s="2" t="inlineStr">
        <is>
          <t>22201.0</t>
        </is>
      </c>
      <c r="B194" s="2" t="inlineStr">
        <is>
          <t xml:space="preserve">COMPANHIA URBANIZADORA DA NOVA CAPITAL </t>
        </is>
      </c>
      <c r="C194" s="2" t="inlineStr">
        <is>
          <t>15.452.6209.8508.0002</t>
        </is>
      </c>
      <c r="D194" s="2" t="inlineStr">
        <is>
          <t>MANUTENÇÃO DE ÁREAS URBANIZADAS E AJARDINADAS-MANUTENÇÃO DE VIAS PÚBLICAS-DISTRITO FEDERAL</t>
        </is>
      </c>
      <c r="E194" s="2" t="inlineStr">
        <is>
          <t>339039</t>
        </is>
      </c>
      <c r="F194" s="2" t="inlineStr">
        <is>
          <t>100000000</t>
        </is>
      </c>
      <c r="G194" s="2" t="inlineStr">
        <is>
          <t>0</t>
        </is>
      </c>
      <c r="H194" s="3" t="n">
        <v>81108100</v>
      </c>
      <c r="I194" s="3" t="n">
        <v>180775260.33</v>
      </c>
      <c r="J194" s="3" t="n">
        <v>0</v>
      </c>
      <c r="K194" s="3" t="n">
        <v>0</v>
      </c>
      <c r="L194" s="3" t="n">
        <v>261883360.33</v>
      </c>
      <c r="M194" s="3" t="n">
        <v>261876346.27</v>
      </c>
      <c r="N194" s="3" t="n">
        <v>261172311.13</v>
      </c>
      <c r="O194" s="3" t="n">
        <v>7014.06</v>
      </c>
      <c r="P194" s="3" t="n">
        <v>261883360.33</v>
      </c>
      <c r="Q194" s="3" t="n">
        <v>214500000</v>
      </c>
      <c r="R194" s="3" t="n">
        <v>-123541234.66</v>
      </c>
      <c r="S194" s="3" t="n">
        <v>0</v>
      </c>
      <c r="T194" s="3" t="n">
        <v>0</v>
      </c>
      <c r="U194" s="3" t="n">
        <v>90958765.34</v>
      </c>
      <c r="V194" s="3" t="n">
        <v>90958729.8</v>
      </c>
      <c r="W194" s="3" t="n">
        <v>82662661.55</v>
      </c>
      <c r="X194" s="3" t="n">
        <v>35.54</v>
      </c>
      <c r="Y194" s="3" t="n">
        <v>90958765.34</v>
      </c>
    </row>
    <row r="195">
      <c r="A195" s="2" t="inlineStr">
        <is>
          <t>22201.0</t>
        </is>
      </c>
      <c r="B195" s="2" t="inlineStr">
        <is>
          <t xml:space="preserve">COMPANHIA URBANIZADORA DA NOVA CAPITAL </t>
        </is>
      </c>
      <c r="C195" s="2" t="inlineStr">
        <is>
          <t>17.512.6209.2903.0001</t>
        </is>
      </c>
      <c r="D195" s="2" t="inlineStr">
        <is>
          <t>MANUTENÇÃO DE REDES DE ÁGUAS PLUVIAIS--DISTRITO FEDERAL</t>
        </is>
      </c>
      <c r="E195" s="2" t="inlineStr">
        <is>
          <t>339030</t>
        </is>
      </c>
      <c r="F195" s="2" t="inlineStr">
        <is>
          <t>100000000</t>
        </is>
      </c>
      <c r="G195" s="2" t="inlineStr">
        <is>
          <t>0</t>
        </is>
      </c>
      <c r="H195" s="3" t="n">
        <v>6185000</v>
      </c>
      <c r="I195" s="3" t="n">
        <v>3460578.19</v>
      </c>
      <c r="J195" s="3" t="n">
        <v>0</v>
      </c>
      <c r="K195" s="3" t="n">
        <v>0</v>
      </c>
      <c r="L195" s="3" t="n">
        <v>9645578.189999999</v>
      </c>
      <c r="M195" s="3" t="n">
        <v>9645578.189999999</v>
      </c>
      <c r="N195" s="3" t="n">
        <v>7717959.5</v>
      </c>
      <c r="O195" s="3" t="n">
        <v>0</v>
      </c>
      <c r="P195" s="3" t="n">
        <v>9645578.189999999</v>
      </c>
      <c r="Q195" s="3" t="n">
        <v>6000000</v>
      </c>
      <c r="R195" s="3" t="n">
        <v>1164803.37</v>
      </c>
      <c r="S195" s="3" t="n">
        <v>0</v>
      </c>
      <c r="T195" s="3" t="n">
        <v>0</v>
      </c>
      <c r="U195" s="3" t="n">
        <v>7164803.37</v>
      </c>
      <c r="V195" s="3" t="n">
        <v>7163796.55</v>
      </c>
      <c r="W195" s="3" t="n">
        <v>3010800.44</v>
      </c>
      <c r="X195" s="3" t="n">
        <v>1006.82</v>
      </c>
      <c r="Y195" s="3" t="n">
        <v>7164803.37</v>
      </c>
    </row>
    <row r="196">
      <c r="A196" s="2" t="inlineStr">
        <is>
          <t>17101.0</t>
        </is>
      </c>
      <c r="B196" s="2" t="inlineStr">
        <is>
          <t xml:space="preserve">SECRETARIA DE ESTADO DE DESENVOLVIMENTO  SOCIAL DO DISTRITO FEDERAL                                                                                   </t>
        </is>
      </c>
      <c r="C196" s="2" t="inlineStr">
        <is>
          <t>08.244.6228.4272.0001</t>
        </is>
      </c>
      <c r="D196" s="2" t="inlineStr">
        <is>
          <t>FORNECIMENTO EMERGENCIAL DE ALIMENTOS-- SETOR COMPL. DE IND. E ABASTECIMENTO</t>
        </is>
      </c>
      <c r="E196" s="2" t="inlineStr">
        <is>
          <t>339048</t>
        </is>
      </c>
      <c r="F196" s="2" t="inlineStr">
        <is>
          <t>100000000</t>
        </is>
      </c>
      <c r="G196" s="2" t="inlineStr">
        <is>
          <t>0</t>
        </is>
      </c>
      <c r="H196" s="3" t="n">
        <v>0</v>
      </c>
      <c r="I196" s="3" t="n">
        <v>240613813.4</v>
      </c>
      <c r="J196" s="3" t="n">
        <v>0</v>
      </c>
      <c r="K196" s="3" t="n">
        <v>0</v>
      </c>
      <c r="L196" s="3" t="n">
        <v>240613813.4</v>
      </c>
      <c r="M196" s="3" t="n">
        <v>240613813.4</v>
      </c>
      <c r="N196" s="3" t="n">
        <v>217451312.95</v>
      </c>
      <c r="O196" s="3" t="n">
        <v>0</v>
      </c>
      <c r="P196" s="3" t="n">
        <v>240613813.4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</row>
    <row r="197">
      <c r="A197" s="2" t="inlineStr">
        <is>
          <t>64101.0</t>
        </is>
      </c>
      <c r="B197" s="2" t="inlineStr">
        <is>
          <t xml:space="preserve">SECRETARIA DE ESTADO ADMINISTRAÇÃO PENITENCIÁRIA DO DISTRITO FEDERAL </t>
        </is>
      </c>
      <c r="C197" s="2" t="inlineStr">
        <is>
          <t>06.421.6217.2727.0006</t>
        </is>
      </c>
      <c r="D197" s="2" t="inlineStr">
        <is>
          <t>MANUTENÇÃO DO SISTEMA PENITENCIÁRIO DO DF- MANUTENÇÃO DO SISTEMA PENITENCIÁRIO DO DF-DISTRITO FEDERAL</t>
        </is>
      </c>
      <c r="E197" s="2" t="inlineStr">
        <is>
          <t>339033</t>
        </is>
      </c>
      <c r="F197" s="2" t="inlineStr">
        <is>
          <t>100000000</t>
        </is>
      </c>
      <c r="G197" s="2" t="inlineStr">
        <is>
          <t>0</t>
        </is>
      </c>
      <c r="H197" s="3" t="n">
        <v>500000</v>
      </c>
      <c r="I197" s="3" t="n">
        <v>-14389.48</v>
      </c>
      <c r="J197" s="3" t="n">
        <v>0</v>
      </c>
      <c r="K197" s="3" t="n">
        <v>0</v>
      </c>
      <c r="L197" s="3" t="n">
        <v>485610.52</v>
      </c>
      <c r="M197" s="3" t="n">
        <v>485610.52</v>
      </c>
      <c r="N197" s="3" t="n">
        <v>484795.89</v>
      </c>
      <c r="O197" s="3" t="n">
        <v>0</v>
      </c>
      <c r="P197" s="3" t="n">
        <v>485610.52</v>
      </c>
      <c r="Q197" s="3" t="n">
        <v>500000</v>
      </c>
      <c r="R197" s="3" t="n">
        <v>-172879.14</v>
      </c>
      <c r="S197" s="3" t="n">
        <v>168350</v>
      </c>
      <c r="T197" s="3" t="n">
        <v>0.86</v>
      </c>
      <c r="U197" s="3" t="n">
        <v>158770</v>
      </c>
      <c r="V197" s="3" t="n">
        <v>149133.18</v>
      </c>
      <c r="W197" s="3" t="n">
        <v>75779.38</v>
      </c>
      <c r="X197" s="3" t="n">
        <v>9636.82</v>
      </c>
      <c r="Y197" s="3" t="n">
        <v>327120.86</v>
      </c>
    </row>
    <row r="198">
      <c r="A198" s="2" t="inlineStr">
        <is>
          <t>17902.0</t>
        </is>
      </c>
      <c r="B198" s="2" t="inlineStr">
        <is>
          <t>FUNDO DE ASSISTÊNCIA SOCIAL DO DISTRITO FEDERAL</t>
        </is>
      </c>
      <c r="C198" s="2" t="inlineStr">
        <is>
          <t>08.245.6228.9071.0003</t>
        </is>
      </c>
      <c r="D198" s="2" t="inlineStr">
        <is>
          <t>(OCA)TRANSFERÊNCIA PARA BLOCO DA PROTEÇÃO SOCIAL BÁSICA - TRANSFERÊNCIA CRIANÇA E ADOLESCENTE - DISTRITO FEDERAL</t>
        </is>
      </c>
      <c r="E198" s="2" t="inlineStr">
        <is>
          <t>335043</t>
        </is>
      </c>
      <c r="F198" s="2" t="inlineStr">
        <is>
          <t>158000000</t>
        </is>
      </c>
      <c r="G198" s="2" t="inlineStr">
        <is>
          <t>0</t>
        </is>
      </c>
      <c r="H198" s="3" t="n">
        <v>6200000</v>
      </c>
      <c r="I198" s="3" t="n">
        <v>0</v>
      </c>
      <c r="J198" s="3" t="n">
        <v>0</v>
      </c>
      <c r="K198" s="3" t="n">
        <v>0</v>
      </c>
      <c r="L198" s="3" t="n">
        <v>6200000</v>
      </c>
      <c r="M198" s="3" t="n">
        <v>3141357.59</v>
      </c>
      <c r="N198" s="3" t="n">
        <v>3109079.59</v>
      </c>
      <c r="O198" s="3" t="n">
        <v>3058642.41</v>
      </c>
      <c r="P198" s="3" t="n">
        <v>6200000</v>
      </c>
      <c r="Q198" s="3" t="n">
        <v>8000000</v>
      </c>
      <c r="R198" s="3" t="n">
        <v>0</v>
      </c>
      <c r="S198" s="3" t="n">
        <v>0</v>
      </c>
      <c r="T198" s="3" t="n">
        <v>0</v>
      </c>
      <c r="U198" s="3" t="n">
        <v>8000000</v>
      </c>
      <c r="V198" s="3" t="n">
        <v>699094</v>
      </c>
      <c r="W198" s="3" t="n">
        <v>699094</v>
      </c>
      <c r="X198" s="3" t="n">
        <v>7300906</v>
      </c>
      <c r="Y198" s="3" t="n">
        <v>8000000</v>
      </c>
    </row>
    <row r="199">
      <c r="A199" s="2" t="inlineStr">
        <is>
          <t>22214.0</t>
        </is>
      </c>
      <c r="B199" s="2" t="inlineStr">
        <is>
          <t xml:space="preserve">SERVIÇO DE LIMPEZA URBANA </t>
        </is>
      </c>
      <c r="C199" s="2" t="inlineStr">
        <is>
          <t>15.452.6209.2079.6118</t>
        </is>
      </c>
      <c r="D199" s="2" t="inlineStr">
        <is>
          <t>MANUTENÇÃO DAS ATIVIDADES DE LIMPEZA PÚBLICA--DISTRITO FEDERAL</t>
        </is>
      </c>
      <c r="E199" s="2" t="inlineStr">
        <is>
          <t>339092</t>
        </is>
      </c>
      <c r="F199" s="2" t="inlineStr">
        <is>
          <t>183000000</t>
        </is>
      </c>
      <c r="G199" s="2" t="inlineStr">
        <is>
          <t>0</t>
        </is>
      </c>
      <c r="H199" s="3" t="n">
        <v>0</v>
      </c>
      <c r="I199" s="3" t="n">
        <v>600000</v>
      </c>
      <c r="J199" s="3" t="n">
        <v>0</v>
      </c>
      <c r="K199" s="3" t="n">
        <v>0</v>
      </c>
      <c r="L199" s="3" t="n">
        <v>600000</v>
      </c>
      <c r="M199" s="3" t="n">
        <v>583018.62</v>
      </c>
      <c r="N199" s="3" t="n">
        <v>583018.62</v>
      </c>
      <c r="O199" s="3" t="n">
        <v>16981.38</v>
      </c>
      <c r="P199" s="3" t="n">
        <v>600000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</row>
    <row r="200">
      <c r="A200" s="2" t="inlineStr">
        <is>
          <t>22201.0</t>
        </is>
      </c>
      <c r="B200" s="2" t="inlineStr">
        <is>
          <t xml:space="preserve">COMPANHIA URBANIZADORA DA NOVA CAPITAL </t>
        </is>
      </c>
      <c r="C200" s="2" t="inlineStr">
        <is>
          <t>15.452.6209.8508.0002</t>
        </is>
      </c>
      <c r="D200" s="2" t="inlineStr">
        <is>
          <t>MANUTENÇÃO DE ÁREAS URBANIZADAS E AJARDINADAS-MANUTENÇÃO DE VIAS PÚBLICAS-DISTRITO FEDERAL</t>
        </is>
      </c>
      <c r="E200" s="2" t="inlineStr">
        <is>
          <t>339039</t>
        </is>
      </c>
      <c r="F200" s="2" t="inlineStr">
        <is>
          <t>102000000</t>
        </is>
      </c>
      <c r="G200" s="2" t="inlineStr">
        <is>
          <t>0</t>
        </is>
      </c>
      <c r="H200" s="3" t="n">
        <v>0</v>
      </c>
      <c r="I200" s="3" t="n">
        <v>12736779.6</v>
      </c>
      <c r="J200" s="3" t="n">
        <v>0</v>
      </c>
      <c r="K200" s="3" t="n">
        <v>0</v>
      </c>
      <c r="L200" s="3" t="n">
        <v>12736779.6</v>
      </c>
      <c r="M200" s="3" t="n">
        <v>12736779.6</v>
      </c>
      <c r="N200" s="3" t="n">
        <v>12511199.34</v>
      </c>
      <c r="O200" s="3" t="n">
        <v>0</v>
      </c>
      <c r="P200" s="3" t="n">
        <v>12736779.6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</row>
    <row r="201">
      <c r="A201" s="2" t="inlineStr">
        <is>
          <t>17902.0</t>
        </is>
      </c>
      <c r="B201" s="2" t="inlineStr">
        <is>
          <t>FUNDO DE ASSISTÊNCIA SOCIAL DO DISTRITO FEDERAL</t>
        </is>
      </c>
      <c r="C201" s="2" t="inlineStr">
        <is>
          <t>08.245.6228.9071.0003</t>
        </is>
      </c>
      <c r="D201" s="2" t="inlineStr">
        <is>
          <t>(OCA)TRANSFERÊNCIA PARA BLOCO DA PROTEÇÃO SOCIAL BÁSICA - TRANSFERÊNCIA CRIANÇA E ADOLESCENTE - DISTRITO FEDERAL</t>
        </is>
      </c>
      <c r="E201" s="2" t="inlineStr">
        <is>
          <t>335043</t>
        </is>
      </c>
      <c r="F201" s="2" t="inlineStr">
        <is>
          <t>358000000</t>
        </is>
      </c>
      <c r="G201" s="2" t="inlineStr">
        <is>
          <t>0</t>
        </is>
      </c>
      <c r="H201" s="3" t="n">
        <v>0</v>
      </c>
      <c r="I201" s="3" t="n">
        <v>8460834</v>
      </c>
      <c r="J201" s="3" t="n">
        <v>0</v>
      </c>
      <c r="K201" s="3" t="n">
        <v>0</v>
      </c>
      <c r="L201" s="3" t="n">
        <v>8460834</v>
      </c>
      <c r="M201" s="3" t="n">
        <v>2102176.17</v>
      </c>
      <c r="N201" s="3" t="n">
        <v>1943391.3</v>
      </c>
      <c r="O201" s="3" t="n">
        <v>6358657.83</v>
      </c>
      <c r="P201" s="3" t="n">
        <v>8460834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</row>
    <row r="202">
      <c r="A202" s="2" t="inlineStr">
        <is>
          <t>26206.0</t>
        </is>
      </c>
      <c r="B202" s="2" t="inlineStr">
        <is>
          <t>COMPANHIA DO METROPOLITANO DO DISTRITO FEDERAL</t>
        </is>
      </c>
      <c r="C202" s="2" t="inlineStr">
        <is>
          <t>26.453.6216.2756.6137</t>
        </is>
      </c>
      <c r="D202" s="2" t="inlineStr">
        <is>
          <t>MANUTENÇÃO E FUNCIONAMENTO DO SISTEMA FERROVIÁRIO-DF</t>
        </is>
      </c>
      <c r="E202" s="2" t="inlineStr">
        <is>
          <t>339039</t>
        </is>
      </c>
      <c r="F202" s="2" t="inlineStr">
        <is>
          <t>161000000</t>
        </is>
      </c>
      <c r="G202" s="2" t="inlineStr">
        <is>
          <t>0</t>
        </is>
      </c>
      <c r="H202" s="3" t="n">
        <v>0</v>
      </c>
      <c r="I202" s="3" t="n">
        <v>6824154.61</v>
      </c>
      <c r="J202" s="3" t="n">
        <v>0</v>
      </c>
      <c r="K202" s="3" t="n">
        <v>0</v>
      </c>
      <c r="L202" s="3" t="n">
        <v>6824154.61</v>
      </c>
      <c r="M202" s="3" t="n">
        <v>6795685.28</v>
      </c>
      <c r="N202" s="3" t="n">
        <v>5811484.87</v>
      </c>
      <c r="O202" s="3" t="n">
        <v>28469.33</v>
      </c>
      <c r="P202" s="3" t="n">
        <v>6824154.61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</row>
    <row r="203">
      <c r="A203" s="2" t="inlineStr">
        <is>
          <t>26101.0</t>
        </is>
      </c>
      <c r="B203" s="2" t="inlineStr">
        <is>
          <t>SECRETARIA DE ESTADO DE TRANSPORTE E MOBILIDADE DO DISTRITO FEDERAL</t>
        </is>
      </c>
      <c r="C203" s="2" t="inlineStr">
        <is>
          <t>26.453.6216.2455.0002</t>
        </is>
      </c>
      <c r="D203" s="2" t="inlineStr">
        <is>
          <t>MANUTENÇÃO DO EQUILÍBRIO FINANCEIRO DO SISTEMA DE TRANSPORTE PÚBLICO COLETIVO - STPC--DISTRITO FEDERAL</t>
        </is>
      </c>
      <c r="E203" s="2" t="inlineStr">
        <is>
          <t>339039</t>
        </is>
      </c>
      <c r="F203" s="2" t="inlineStr">
        <is>
          <t>183000000</t>
        </is>
      </c>
      <c r="G203" s="2" t="inlineStr">
        <is>
          <t>0</t>
        </is>
      </c>
      <c r="H203" s="3" t="n">
        <v>0</v>
      </c>
      <c r="I203" s="3" t="n">
        <v>1212709</v>
      </c>
      <c r="J203" s="3" t="n">
        <v>0</v>
      </c>
      <c r="K203" s="3" t="n">
        <v>0</v>
      </c>
      <c r="L203" s="3" t="n">
        <v>1212709</v>
      </c>
      <c r="M203" s="3" t="n">
        <v>1212709</v>
      </c>
      <c r="N203" s="3" t="n">
        <v>1212709</v>
      </c>
      <c r="O203" s="3" t="n">
        <v>0</v>
      </c>
      <c r="P203" s="3" t="n">
        <v>1212709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</row>
    <row r="204">
      <c r="A204" s="2" t="inlineStr">
        <is>
          <t>26206.0</t>
        </is>
      </c>
      <c r="B204" s="2" t="inlineStr">
        <is>
          <t>COMPANHIA DO METROPOLITANO DO DISTRITO FEDERAL</t>
        </is>
      </c>
      <c r="C204" s="2" t="inlineStr">
        <is>
          <t>26.453.6216.2756.6137</t>
        </is>
      </c>
      <c r="D204" s="2" t="inlineStr">
        <is>
          <t>MANUTENÇÃO E FUNCIONAMENTO DO SISTEMA FERROVIÁRIO-DF</t>
        </is>
      </c>
      <c r="E204" s="2" t="inlineStr">
        <is>
          <t>339039</t>
        </is>
      </c>
      <c r="F204" s="2" t="inlineStr">
        <is>
          <t>121000000</t>
        </is>
      </c>
      <c r="G204" s="2" t="inlineStr">
        <is>
          <t>0</t>
        </is>
      </c>
      <c r="H204" s="3" t="n">
        <v>5668731</v>
      </c>
      <c r="I204" s="3" t="n">
        <v>0</v>
      </c>
      <c r="J204" s="3" t="n">
        <v>0</v>
      </c>
      <c r="K204" s="3" t="n">
        <v>0</v>
      </c>
      <c r="L204" s="3" t="n">
        <v>5668731</v>
      </c>
      <c r="M204" s="3" t="n">
        <v>0</v>
      </c>
      <c r="N204" s="3" t="n">
        <v>0</v>
      </c>
      <c r="O204" s="3" t="n">
        <v>5668731</v>
      </c>
      <c r="P204" s="3" t="n">
        <v>5668731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</row>
    <row r="205">
      <c r="A205" s="2" t="inlineStr">
        <is>
          <t>22201.0</t>
        </is>
      </c>
      <c r="B205" s="2" t="inlineStr">
        <is>
          <t xml:space="preserve">COMPANHIA URBANIZADORA DA NOVA CAPITAL </t>
        </is>
      </c>
      <c r="C205" s="2" t="inlineStr">
        <is>
          <t>17.512.6209.2903.0001</t>
        </is>
      </c>
      <c r="D205" s="2" t="inlineStr">
        <is>
          <t>MANUTENÇÃO DE REDES DE ÁGUAS PLUVIAIS--DISTRITO FEDERAL</t>
        </is>
      </c>
      <c r="E205" s="2" t="inlineStr">
        <is>
          <t>339039</t>
        </is>
      </c>
      <c r="F205" s="2" t="inlineStr">
        <is>
          <t>183000000</t>
        </is>
      </c>
      <c r="G205" s="2" t="inlineStr">
        <is>
          <t>0</t>
        </is>
      </c>
      <c r="H205" s="3" t="n">
        <v>0</v>
      </c>
      <c r="I205" s="3" t="n">
        <v>985913.2</v>
      </c>
      <c r="J205" s="3" t="n">
        <v>0</v>
      </c>
      <c r="K205" s="3" t="n">
        <v>0</v>
      </c>
      <c r="L205" s="3" t="n">
        <v>985913.2</v>
      </c>
      <c r="M205" s="3" t="n">
        <v>985913.2</v>
      </c>
      <c r="N205" s="3" t="n">
        <v>954415.24</v>
      </c>
      <c r="O205" s="3" t="n">
        <v>0</v>
      </c>
      <c r="P205" s="3" t="n">
        <v>985913.2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</row>
    <row r="206">
      <c r="A206" s="2" t="inlineStr">
        <is>
          <t>19101.0</t>
        </is>
      </c>
      <c r="B206" s="2" t="inlineStr">
        <is>
          <t xml:space="preserve">SECRETARIA DE ESTADO DE ECONOMIA  DO DISTRITO FEDERAL                                                                                                 </t>
        </is>
      </c>
      <c r="C206" s="2" t="inlineStr">
        <is>
          <t>04.122.8203.2990.0006</t>
        </is>
      </c>
      <c r="D206" s="2" t="inlineStr">
        <is>
          <t>MANUTENÇÃO DE BENS IMÓVEIS DO GDF-VIGILÂNCIA-DISTRITO FEDERAL</t>
        </is>
      </c>
      <c r="E206" s="2" t="inlineStr">
        <is>
          <t>339037</t>
        </is>
      </c>
      <c r="F206" s="2" t="inlineStr">
        <is>
          <t>178000000</t>
        </is>
      </c>
      <c r="G206" s="2" t="inlineStr">
        <is>
          <t>0</t>
        </is>
      </c>
      <c r="H206" s="3" t="n">
        <v>5872772</v>
      </c>
      <c r="I206" s="3" t="n">
        <v>0</v>
      </c>
      <c r="J206" s="3" t="n">
        <v>0</v>
      </c>
      <c r="K206" s="3" t="n">
        <v>0</v>
      </c>
      <c r="L206" s="3" t="n">
        <v>5872772</v>
      </c>
      <c r="M206" s="3" t="n">
        <v>5872772</v>
      </c>
      <c r="N206" s="3" t="n">
        <v>5872772</v>
      </c>
      <c r="O206" s="3" t="n">
        <v>0</v>
      </c>
      <c r="P206" s="3" t="n">
        <v>5872772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</row>
    <row r="207">
      <c r="A207" s="2" t="inlineStr">
        <is>
          <t>26205.0</t>
        </is>
      </c>
      <c r="B207" s="2" t="inlineStr">
        <is>
          <t>DEPARTAMENTO DE ESTRADAS DE RODAGEM</t>
        </is>
      </c>
      <c r="C207" s="2" t="inlineStr">
        <is>
          <t>26.782.6216.4195.0001</t>
        </is>
      </c>
      <c r="D207" s="2" t="inlineStr">
        <is>
          <t>CONSERVAÇÃO DE  RODOVIAS-PREVENTIVA E CORRETIVA-DER-DF-DISTRITO FEDERAL</t>
        </is>
      </c>
      <c r="E207" s="2" t="inlineStr">
        <is>
          <t>339039</t>
        </is>
      </c>
      <c r="F207" s="2" t="inlineStr">
        <is>
          <t>100000000</t>
        </is>
      </c>
      <c r="G207" s="2" t="inlineStr">
        <is>
          <t>6</t>
        </is>
      </c>
      <c r="H207" s="3" t="n">
        <v>0</v>
      </c>
      <c r="I207" s="3" t="n">
        <v>230000</v>
      </c>
      <c r="J207" s="3" t="n">
        <v>0</v>
      </c>
      <c r="K207" s="3" t="n">
        <v>0</v>
      </c>
      <c r="L207" s="3" t="n">
        <v>230000</v>
      </c>
      <c r="M207" s="3" t="n">
        <v>229802.66</v>
      </c>
      <c r="N207" s="3" t="n">
        <v>229385.36</v>
      </c>
      <c r="O207" s="3" t="n">
        <v>197.34</v>
      </c>
      <c r="P207" s="3" t="n">
        <v>230000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</row>
    <row r="208">
      <c r="A208" s="2" t="inlineStr">
        <is>
          <t>18101.0</t>
        </is>
      </c>
      <c r="B208" s="2" t="inlineStr">
        <is>
          <t>SECRETARIA DE ESTADO DE  EDUCAÇÃO DO DISTRITO FEDERAL</t>
        </is>
      </c>
      <c r="C208" s="2" t="inlineStr">
        <is>
          <t>12.453.6221.4202.0010</t>
        </is>
      </c>
      <c r="D208" s="2" t="inlineStr">
        <is>
          <t>CONCESSÃO DE PASSE LIVRE - PLE - OUTROS - DISTRITO FEDERAL</t>
        </is>
      </c>
      <c r="E208" s="2" t="inlineStr">
        <is>
          <t>339048</t>
        </is>
      </c>
      <c r="F208" s="2" t="inlineStr">
        <is>
          <t>100000000</t>
        </is>
      </c>
      <c r="G208" s="2" t="inlineStr">
        <is>
          <t>0</t>
        </is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</row>
    <row r="209">
      <c r="A209" s="2" t="inlineStr">
        <is>
          <t>17101.0</t>
        </is>
      </c>
      <c r="B209" s="2" t="inlineStr">
        <is>
          <t xml:space="preserve">SECRETARIA DE ESTADO DE DESENVOLVIMENTO  SOCIAL DO DISTRITO FEDERAL                                                                                   </t>
        </is>
      </c>
      <c r="C209" s="2" t="inlineStr">
        <is>
          <t>08.306.6228.4175.0002</t>
        </is>
      </c>
      <c r="D209" s="2" t="inlineStr">
        <is>
          <t>FORNECIMENTO DE REFEIÇÕES NOS RESTAURANTES COMUNITÁRIOS--DISTRITO FEDERAL</t>
        </is>
      </c>
      <c r="E209" s="2" t="inlineStr">
        <is>
          <t>339039</t>
        </is>
      </c>
      <c r="F209" s="2" t="inlineStr">
        <is>
          <t>100000000</t>
        </is>
      </c>
      <c r="G209" s="2" t="inlineStr">
        <is>
          <t>0</t>
        </is>
      </c>
      <c r="H209" s="3" t="n">
        <v>135000000</v>
      </c>
      <c r="I209" s="3" t="n">
        <v>-32533201.67</v>
      </c>
      <c r="J209" s="3" t="n">
        <v>0</v>
      </c>
      <c r="K209" s="3" t="n">
        <v>0.87</v>
      </c>
      <c r="L209" s="3" t="n">
        <v>102466797.46</v>
      </c>
      <c r="M209" s="3" t="n">
        <v>102462894.13</v>
      </c>
      <c r="N209" s="3" t="n">
        <v>90232696.53</v>
      </c>
      <c r="O209" s="3" t="n">
        <v>3903.33</v>
      </c>
      <c r="P209" s="3" t="n">
        <v>102466798.33</v>
      </c>
      <c r="Q209" s="3" t="n">
        <v>110000000</v>
      </c>
      <c r="R209" s="3" t="n">
        <v>-26669093</v>
      </c>
      <c r="S209" s="3" t="n">
        <v>0</v>
      </c>
      <c r="T209" s="3" t="n">
        <v>0</v>
      </c>
      <c r="U209" s="3" t="n">
        <v>80726600</v>
      </c>
      <c r="V209" s="3" t="n">
        <v>80726580.98</v>
      </c>
      <c r="W209" s="3" t="n">
        <v>60516618.48</v>
      </c>
      <c r="X209" s="3" t="n">
        <v>19.02</v>
      </c>
      <c r="Y209" s="3" t="n">
        <v>83330907</v>
      </c>
    </row>
    <row r="210">
      <c r="A210" s="2" t="inlineStr">
        <is>
          <t>17101.0</t>
        </is>
      </c>
      <c r="B210" s="2" t="inlineStr">
        <is>
          <t xml:space="preserve">SECRETARIA DE ESTADO DE DESENVOLVIMENTO  SOCIAL DO DISTRITO FEDERAL                                                                                   </t>
        </is>
      </c>
      <c r="C210" s="2" t="inlineStr">
        <is>
          <t>08.244.6228.4272.0001</t>
        </is>
      </c>
      <c r="D210" s="2" t="inlineStr">
        <is>
          <t>CONCESSÃO DO PROGRAMA SOCIAL CARTÃO PRATO CHEIO--DISTRITO FEDERAL</t>
        </is>
      </c>
      <c r="E210" s="2" t="inlineStr">
        <is>
          <t>339048</t>
        </is>
      </c>
      <c r="F210" s="2" t="inlineStr">
        <is>
          <t>100000000</t>
        </is>
      </c>
      <c r="G210" s="2" t="inlineStr">
        <is>
          <t>0</t>
        </is>
      </c>
      <c r="H210" s="3" t="n">
        <v>0</v>
      </c>
      <c r="I210" s="3" t="n">
        <v>46766097</v>
      </c>
      <c r="J210" s="3" t="n">
        <v>0</v>
      </c>
      <c r="K210" s="3" t="n">
        <v>0</v>
      </c>
      <c r="L210" s="3" t="n">
        <v>46766097</v>
      </c>
      <c r="M210" s="3" t="n">
        <v>46766097</v>
      </c>
      <c r="N210" s="3" t="n">
        <v>46766097</v>
      </c>
      <c r="O210" s="3" t="n">
        <v>0</v>
      </c>
      <c r="P210" s="3" t="n">
        <v>46766097</v>
      </c>
      <c r="Q210" s="3" t="n">
        <v>306657262</v>
      </c>
      <c r="R210" s="3" t="n">
        <v>0</v>
      </c>
      <c r="S210" s="3" t="n">
        <v>0</v>
      </c>
      <c r="T210" s="3" t="n">
        <v>0</v>
      </c>
      <c r="U210" s="3" t="n">
        <v>306657262</v>
      </c>
      <c r="V210" s="3" t="n">
        <v>306657262</v>
      </c>
      <c r="W210" s="3" t="n">
        <v>221546409.55</v>
      </c>
      <c r="X210" s="3" t="n">
        <v>0</v>
      </c>
      <c r="Y210" s="3" t="n">
        <v>306657262</v>
      </c>
    </row>
    <row r="211">
      <c r="A211" s="2" t="inlineStr">
        <is>
          <t>26205.0</t>
        </is>
      </c>
      <c r="B211" s="2" t="inlineStr">
        <is>
          <t>DEPARTAMENTO DE ESTRADAS DE RODAGEM</t>
        </is>
      </c>
      <c r="C211" s="2" t="inlineStr">
        <is>
          <t>26.782.6216.4195.0001</t>
        </is>
      </c>
      <c r="D211" s="2" t="inlineStr">
        <is>
          <t>CONSERVAÇÃO DE  RODOVIAS-PREVENTIVA E CORRETIVA-DER-DF-DISTRITO FEDERAL</t>
        </is>
      </c>
      <c r="E211" s="2" t="inlineStr">
        <is>
          <t>339039</t>
        </is>
      </c>
      <c r="F211" s="2" t="inlineStr">
        <is>
          <t>237000000</t>
        </is>
      </c>
      <c r="G211" s="2" t="inlineStr">
        <is>
          <t>0</t>
        </is>
      </c>
      <c r="H211" s="3" t="n">
        <v>0</v>
      </c>
      <c r="I211" s="3" t="n">
        <v>3013732.03</v>
      </c>
      <c r="J211" s="3" t="n">
        <v>0</v>
      </c>
      <c r="K211" s="3" t="n">
        <v>0</v>
      </c>
      <c r="L211" s="3" t="n">
        <v>3013732.03</v>
      </c>
      <c r="M211" s="3" t="n">
        <v>2972754.06</v>
      </c>
      <c r="N211" s="3" t="n">
        <v>2492517.05</v>
      </c>
      <c r="O211" s="3" t="n">
        <v>40977.97</v>
      </c>
      <c r="P211" s="3" t="n">
        <v>3013732.03</v>
      </c>
      <c r="Q211" s="3" t="n">
        <v>0</v>
      </c>
      <c r="R211" s="3" t="n">
        <v>2425739.65</v>
      </c>
      <c r="S211" s="3" t="n">
        <v>0</v>
      </c>
      <c r="T211" s="3" t="n">
        <v>0</v>
      </c>
      <c r="U211" s="3" t="n">
        <v>2425739.65</v>
      </c>
      <c r="V211" s="3" t="n">
        <v>2425192.6</v>
      </c>
      <c r="W211" s="3" t="n">
        <v>1866189.18</v>
      </c>
      <c r="X211" s="3" t="n">
        <v>547.05</v>
      </c>
      <c r="Y211" s="3" t="n">
        <v>2425739.65</v>
      </c>
    </row>
    <row r="212">
      <c r="A212" s="2" t="inlineStr">
        <is>
          <t>26206.0</t>
        </is>
      </c>
      <c r="B212" s="2" t="inlineStr">
        <is>
          <t>COMPANHIA DO METROPOLITANO DO DISTRITO FEDERAL</t>
        </is>
      </c>
      <c r="C212" s="2" t="inlineStr">
        <is>
          <t>26.453.6216.2756.6137</t>
        </is>
      </c>
      <c r="D212" s="2" t="inlineStr">
        <is>
          <t>MANUTENÇÃO E FUNCIONAMENTO DO SISTEMA FERROVIÁRIO-DF</t>
        </is>
      </c>
      <c r="E212" s="2" t="inlineStr">
        <is>
          <t>339092</t>
        </is>
      </c>
      <c r="F212" s="2" t="inlineStr">
        <is>
          <t>100000000</t>
        </is>
      </c>
      <c r="G212" s="2" t="inlineStr">
        <is>
          <t>0</t>
        </is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15078508</v>
      </c>
      <c r="S212" s="3" t="n">
        <v>0</v>
      </c>
      <c r="T212" s="3" t="n">
        <v>0.44</v>
      </c>
      <c r="U212" s="3" t="n">
        <v>15078507.56</v>
      </c>
      <c r="V212" s="3" t="n">
        <v>15078507.56</v>
      </c>
      <c r="W212" s="3" t="n">
        <v>15078506.63</v>
      </c>
      <c r="X212" s="3" t="n">
        <v>0</v>
      </c>
      <c r="Y212" s="3" t="n">
        <v>15078508</v>
      </c>
    </row>
    <row r="213">
      <c r="A213" s="2" t="inlineStr">
        <is>
          <t>26205.0</t>
        </is>
      </c>
      <c r="B213" s="2" t="inlineStr">
        <is>
          <t>DEPARTAMENTO DE ESTRADAS DE RODAGEM</t>
        </is>
      </c>
      <c r="C213" s="2" t="inlineStr">
        <is>
          <t>26.782.6216.4195.0001</t>
        </is>
      </c>
      <c r="D213" s="2" t="inlineStr">
        <is>
          <t>CONSERVAÇÃO DE  RODOVIAS-PREVENTIVA E CORRETIVA-DER-DF-DISTRITO FEDERAL</t>
        </is>
      </c>
      <c r="E213" s="2" t="inlineStr">
        <is>
          <t>339092</t>
        </is>
      </c>
      <c r="F213" s="2" t="inlineStr">
        <is>
          <t>100000000</t>
        </is>
      </c>
      <c r="G213" s="2" t="inlineStr">
        <is>
          <t>0</t>
        </is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3761017</v>
      </c>
      <c r="S213" s="3" t="n">
        <v>0</v>
      </c>
      <c r="T213" s="3" t="n">
        <v>0</v>
      </c>
      <c r="U213" s="3" t="n">
        <v>3761017</v>
      </c>
      <c r="V213" s="3" t="n">
        <v>3680128.35</v>
      </c>
      <c r="W213" s="3" t="n">
        <v>3680128.35</v>
      </c>
      <c r="X213" s="3" t="n">
        <v>80888.64999999999</v>
      </c>
      <c r="Y213" s="3" t="n">
        <v>3761017</v>
      </c>
    </row>
    <row r="214">
      <c r="A214" s="2" t="inlineStr">
        <is>
          <t>26206.0</t>
        </is>
      </c>
      <c r="B214" s="2" t="inlineStr">
        <is>
          <t>COMPANHIA DO METROPOLITANO DO DISTRITO FEDERAL</t>
        </is>
      </c>
      <c r="C214" s="2" t="inlineStr">
        <is>
          <t>26.453.6216.2756.6137</t>
        </is>
      </c>
      <c r="D214" s="2" t="inlineStr">
        <is>
          <t>MANUTENÇÃO E FUNCIONAMENTO DO SISTEMA FERROVIÁRIO-DF</t>
        </is>
      </c>
      <c r="E214" s="2" t="inlineStr">
        <is>
          <t>339092</t>
        </is>
      </c>
      <c r="F214" s="2" t="inlineStr">
        <is>
          <t>220000000</t>
        </is>
      </c>
      <c r="G214" s="2" t="inlineStr">
        <is>
          <t>0</t>
        </is>
      </c>
      <c r="H214" s="3" t="n">
        <v>0</v>
      </c>
      <c r="I214" s="3" t="n">
        <v>9497924.859999999</v>
      </c>
      <c r="J214" s="3" t="n">
        <v>0</v>
      </c>
      <c r="K214" s="3" t="n">
        <v>0</v>
      </c>
      <c r="L214" s="3" t="n">
        <v>9497924.859999999</v>
      </c>
      <c r="M214" s="3" t="n">
        <v>9497923.76</v>
      </c>
      <c r="N214" s="3" t="n">
        <v>9497923.76</v>
      </c>
      <c r="O214" s="3" t="n">
        <v>1.1</v>
      </c>
      <c r="P214" s="3" t="n">
        <v>9497924.859999999</v>
      </c>
      <c r="Q214" s="3" t="n">
        <v>0</v>
      </c>
      <c r="R214" s="3" t="n">
        <v>2126950</v>
      </c>
      <c r="S214" s="3" t="n">
        <v>0</v>
      </c>
      <c r="T214" s="3" t="n">
        <v>0</v>
      </c>
      <c r="U214" s="3" t="n">
        <v>2126950</v>
      </c>
      <c r="V214" s="3" t="n">
        <v>2126946.49</v>
      </c>
      <c r="W214" s="3" t="n">
        <v>2126946.49</v>
      </c>
      <c r="X214" s="3" t="n">
        <v>3.51</v>
      </c>
      <c r="Y214" s="3" t="n">
        <v>2126950</v>
      </c>
    </row>
    <row r="215">
      <c r="A215" s="2" t="inlineStr">
        <is>
          <t>23901.0</t>
        </is>
      </c>
      <c r="B215" s="2" t="inlineStr">
        <is>
          <t>FUNDO DE SAÚDE DO DISTRITO FEDERAL</t>
        </is>
      </c>
      <c r="C215" s="2" t="inlineStr">
        <is>
          <t>10.302.6202.4206.0002</t>
        </is>
      </c>
      <c r="D215" s="2" t="inlineStr">
        <is>
          <t>EXECUÇÃO DE CONTRATOS DE GESTÃO-HOSPITAL DA CRIANÇA DE BRASÍLIA JOSÉ ALENCAR - HCB-DISTRITO FEDERAL</t>
        </is>
      </c>
      <c r="E215" s="2" t="inlineStr">
        <is>
          <t>445085</t>
        </is>
      </c>
      <c r="F215" s="2" t="inlineStr">
        <is>
          <t>839000000</t>
        </is>
      </c>
      <c r="G215" s="2" t="inlineStr">
        <is>
          <t>0</t>
        </is>
      </c>
      <c r="H215" s="3" t="n">
        <v>0</v>
      </c>
      <c r="I215" s="3" t="n">
        <v>3888583</v>
      </c>
      <c r="J215" s="3" t="n">
        <v>0</v>
      </c>
      <c r="K215" s="3" t="n">
        <v>0</v>
      </c>
      <c r="L215" s="3" t="n">
        <v>3888583</v>
      </c>
      <c r="M215" s="3" t="n">
        <v>3888583</v>
      </c>
      <c r="N215" s="3" t="n">
        <v>3888583</v>
      </c>
      <c r="O215" s="3" t="n">
        <v>0</v>
      </c>
      <c r="P215" s="3" t="n">
        <v>3888583</v>
      </c>
      <c r="Q215" s="3" t="n">
        <v>0</v>
      </c>
      <c r="R215" s="3" t="n">
        <v>2104477</v>
      </c>
      <c r="S215" s="3" t="n">
        <v>0</v>
      </c>
      <c r="T215" s="3" t="n">
        <v>0</v>
      </c>
      <c r="U215" s="3" t="n">
        <v>2104477</v>
      </c>
      <c r="V215" s="3" t="n">
        <v>0</v>
      </c>
      <c r="W215" s="3" t="n">
        <v>0</v>
      </c>
      <c r="X215" s="3" t="n">
        <v>2104477</v>
      </c>
      <c r="Y215" s="3" t="n">
        <v>2104477</v>
      </c>
    </row>
    <row r="216">
      <c r="A216" s="2" t="inlineStr">
        <is>
          <t>18101.0</t>
        </is>
      </c>
      <c r="B216" s="2" t="inlineStr">
        <is>
          <t>SECRETARIA DE ESTADO DE  EDUCAÇÃO DO DISTRITO FEDERAL</t>
        </is>
      </c>
      <c r="C216" s="2" t="inlineStr">
        <is>
          <t>12.453.6221.4202.0010</t>
        </is>
      </c>
      <c r="D216" s="2" t="inlineStr">
        <is>
          <t>CONCESSÃO DE PASSE LIVRE - PLE - OUTROS - DISTRITO FEDERAL</t>
        </is>
      </c>
      <c r="E216" s="2" t="inlineStr">
        <is>
          <t>339039</t>
        </is>
      </c>
      <c r="F216" s="2" t="inlineStr">
        <is>
          <t>100000000</t>
        </is>
      </c>
      <c r="G216" s="2" t="inlineStr">
        <is>
          <t>0</t>
        </is>
      </c>
      <c r="H216" s="3" t="n">
        <v>89475033</v>
      </c>
      <c r="I216" s="3" t="n">
        <v>65000000</v>
      </c>
      <c r="J216" s="3" t="n">
        <v>0</v>
      </c>
      <c r="K216" s="3" t="n">
        <v>0</v>
      </c>
      <c r="L216" s="3" t="n">
        <v>154475033</v>
      </c>
      <c r="M216" s="3" t="n">
        <v>154475033</v>
      </c>
      <c r="N216" s="3" t="n">
        <v>154475033</v>
      </c>
      <c r="O216" s="3" t="n">
        <v>0</v>
      </c>
      <c r="P216" s="3" t="n">
        <v>154475033</v>
      </c>
      <c r="Q216" s="3" t="n">
        <v>52463657</v>
      </c>
      <c r="R216" s="3" t="n">
        <v>-22697391</v>
      </c>
      <c r="S216" s="3" t="n">
        <v>0</v>
      </c>
      <c r="T216" s="3" t="n">
        <v>4703.39</v>
      </c>
      <c r="U216" s="3" t="n">
        <v>29761562.61</v>
      </c>
      <c r="V216" s="3" t="n">
        <v>29761562.61</v>
      </c>
      <c r="W216" s="3" t="n">
        <v>29761562.61</v>
      </c>
      <c r="X216" s="3" t="n">
        <v>0</v>
      </c>
      <c r="Y216" s="3" t="n">
        <v>29766266</v>
      </c>
    </row>
    <row r="217">
      <c r="A217" s="2" t="inlineStr">
        <is>
          <t>22201.0</t>
        </is>
      </c>
      <c r="B217" s="2" t="inlineStr">
        <is>
          <t xml:space="preserve">COMPANHIA URBANIZADORA DA NOVA CAPITAL </t>
        </is>
      </c>
      <c r="C217" s="2" t="inlineStr">
        <is>
          <t>15.452.6209.8508.0002</t>
        </is>
      </c>
      <c r="D217" s="2" t="inlineStr">
        <is>
          <t>MANUTENÇÃO DE ÁREAS URBANIZADAS E AJARDINADAS-MANUTENÇÃO DE VIAS PÚBLICAS-DISTRITO FEDERAL</t>
        </is>
      </c>
      <c r="E217" s="2" t="inlineStr">
        <is>
          <t>339039</t>
        </is>
      </c>
      <c r="F217" s="2" t="inlineStr">
        <is>
          <t>183000000</t>
        </is>
      </c>
      <c r="G217" s="2" t="inlineStr">
        <is>
          <t>0</t>
        </is>
      </c>
      <c r="H217" s="3" t="n">
        <v>16000000</v>
      </c>
      <c r="I217" s="3" t="n">
        <v>-1716962.09</v>
      </c>
      <c r="J217" s="3" t="n">
        <v>0</v>
      </c>
      <c r="K217" s="3" t="n">
        <v>0</v>
      </c>
      <c r="L217" s="3" t="n">
        <v>14283037.91</v>
      </c>
      <c r="M217" s="3" t="n">
        <v>14283037.91</v>
      </c>
      <c r="N217" s="3" t="n">
        <v>14278561.32</v>
      </c>
      <c r="O217" s="3" t="n">
        <v>0</v>
      </c>
      <c r="P217" s="3" t="n">
        <v>14283037.91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</row>
    <row r="218">
      <c r="A218" s="2" t="inlineStr">
        <is>
          <t>23901.0</t>
        </is>
      </c>
      <c r="B218" s="2" t="inlineStr">
        <is>
          <t>FUNDO DE SAÚDE DO DISTRITO FEDERAL</t>
        </is>
      </c>
      <c r="C218" s="2" t="inlineStr">
        <is>
          <t>10.302.6202.4206.0002</t>
        </is>
      </c>
      <c r="D218" s="2" t="inlineStr">
        <is>
          <t>EXECUÇÃO DE CONTRATOS DE GESTÃO-HOSPITAL DA CRIANÇA DE BRASÍLIA JOSÉ ALENCAR - HCB-DISTRITO FEDERAL</t>
        </is>
      </c>
      <c r="E218" s="2" t="inlineStr">
        <is>
          <t>335085</t>
        </is>
      </c>
      <c r="F218" s="2" t="inlineStr">
        <is>
          <t>739000000</t>
        </is>
      </c>
      <c r="G218" s="2" t="inlineStr">
        <is>
          <t>0</t>
        </is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500000</v>
      </c>
      <c r="S218" s="3" t="n">
        <v>0</v>
      </c>
      <c r="T218" s="3" t="n">
        <v>0</v>
      </c>
      <c r="U218" s="3" t="n">
        <v>500000</v>
      </c>
      <c r="V218" s="3" t="n">
        <v>0</v>
      </c>
      <c r="W218" s="3" t="n">
        <v>0</v>
      </c>
      <c r="X218" s="3" t="n">
        <v>500000</v>
      </c>
      <c r="Y218" s="3" t="n">
        <v>500000</v>
      </c>
    </row>
    <row r="219">
      <c r="A219" s="2" t="inlineStr">
        <is>
          <t>26205.0</t>
        </is>
      </c>
      <c r="B219" s="2" t="inlineStr">
        <is>
          <t>DEPARTAMENTO DE ESTRADAS DE RODAGEM</t>
        </is>
      </c>
      <c r="C219" s="2" t="inlineStr">
        <is>
          <t>26.782.6216.2885.0001</t>
        </is>
      </c>
      <c r="D219" s="2" t="inlineStr">
        <is>
          <t>MANUTENÇÃO DE MÁQUINAS E EQUIPAMENTOS-LEVES E PESADOS - DER-DF-DISTRITO FEDERAL</t>
        </is>
      </c>
      <c r="E219" s="2" t="inlineStr">
        <is>
          <t>339030</t>
        </is>
      </c>
      <c r="F219" s="2" t="inlineStr">
        <is>
          <t>220000000</t>
        </is>
      </c>
      <c r="G219" s="2" t="inlineStr">
        <is>
          <t>0</t>
        </is>
      </c>
      <c r="H219" s="3" t="n">
        <v>0</v>
      </c>
      <c r="I219" s="3" t="n">
        <v>703840</v>
      </c>
      <c r="J219" s="3" t="n">
        <v>0</v>
      </c>
      <c r="K219" s="3" t="n">
        <v>0</v>
      </c>
      <c r="L219" s="3" t="n">
        <v>703840</v>
      </c>
      <c r="M219" s="3" t="n">
        <v>671273.88</v>
      </c>
      <c r="N219" s="3" t="n">
        <v>671273.88</v>
      </c>
      <c r="O219" s="3" t="n">
        <v>32566.12</v>
      </c>
      <c r="P219" s="3" t="n">
        <v>703840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</row>
    <row r="220">
      <c r="A220" s="2" t="inlineStr">
        <is>
          <t>23901.0</t>
        </is>
      </c>
      <c r="B220" s="2" t="inlineStr">
        <is>
          <t>FUNDO DE SAÚDE DO DISTRITO FEDERAL</t>
        </is>
      </c>
      <c r="C220" s="2" t="inlineStr">
        <is>
          <t>10.302.6202.4206.0002</t>
        </is>
      </c>
      <c r="D220" s="2" t="inlineStr">
        <is>
          <t>EXECUÇÃO DE CONTRATOS DE GESTÃO-HOSPITAL DA CRIANÇA DE BRASÍLIA JOSÉ ALENCAR - HCB-DISTRITO FEDERAL</t>
        </is>
      </c>
      <c r="E220" s="2" t="inlineStr">
        <is>
          <t>445085</t>
        </is>
      </c>
      <c r="F220" s="2" t="inlineStr">
        <is>
          <t>338000000</t>
        </is>
      </c>
      <c r="G220" s="2" t="inlineStr">
        <is>
          <t>0</t>
        </is>
      </c>
      <c r="H220" s="3" t="n">
        <v>0</v>
      </c>
      <c r="I220" s="3" t="n">
        <v>374145</v>
      </c>
      <c r="J220" s="3" t="n">
        <v>0</v>
      </c>
      <c r="K220" s="3" t="n">
        <v>0</v>
      </c>
      <c r="L220" s="3" t="n">
        <v>374145</v>
      </c>
      <c r="M220" s="3" t="n">
        <v>0</v>
      </c>
      <c r="N220" s="3" t="n">
        <v>0</v>
      </c>
      <c r="O220" s="3" t="n">
        <v>374145</v>
      </c>
      <c r="P220" s="3" t="n">
        <v>374145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</row>
    <row r="221">
      <c r="A221" s="2" t="inlineStr">
        <is>
          <t>19101.0</t>
        </is>
      </c>
      <c r="B221" s="2" t="inlineStr">
        <is>
          <t xml:space="preserve">SECRETARIA DE ESTADO DE ECONOMIA  DO DISTRITO FEDERAL                                                                                                 </t>
        </is>
      </c>
      <c r="C221" s="2" t="inlineStr">
        <is>
          <t>04.122.8203.2990.0008</t>
        </is>
      </c>
      <c r="D221" s="2" t="inlineStr">
        <is>
          <t>MANUTENÇÃO DE BENS IMÓVEIS DO GDF-LIMPEZA-DISTRITO FEDERAL</t>
        </is>
      </c>
      <c r="E221" s="2" t="inlineStr">
        <is>
          <t>339039</t>
        </is>
      </c>
      <c r="F221" s="2" t="inlineStr">
        <is>
          <t>161000000</t>
        </is>
      </c>
      <c r="G221" s="2" t="inlineStr">
        <is>
          <t>0</t>
        </is>
      </c>
      <c r="H221" s="3" t="n">
        <v>0</v>
      </c>
      <c r="I221" s="3" t="n">
        <v>13957338</v>
      </c>
      <c r="J221" s="3" t="n">
        <v>0</v>
      </c>
      <c r="K221" s="3" t="n">
        <v>0</v>
      </c>
      <c r="L221" s="3" t="n">
        <v>13957338</v>
      </c>
      <c r="M221" s="3" t="n">
        <v>13918036.09</v>
      </c>
      <c r="N221" s="3" t="n">
        <v>9749822.01</v>
      </c>
      <c r="O221" s="3" t="n">
        <v>39301.91</v>
      </c>
      <c r="P221" s="3" t="n">
        <v>13957338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</row>
    <row r="222">
      <c r="A222" s="2" t="inlineStr">
        <is>
          <t>22201.0</t>
        </is>
      </c>
      <c r="B222" s="2" t="inlineStr">
        <is>
          <t xml:space="preserve">COMPANHIA URBANIZADORA DA NOVA CAPITAL </t>
        </is>
      </c>
      <c r="C222" s="2" t="inlineStr">
        <is>
          <t>17.512.6209.2903.0001</t>
        </is>
      </c>
      <c r="D222" s="2" t="inlineStr">
        <is>
          <t>MANUTENÇÃO DE REDES DE ÁGUAS PLUVIAIS--DISTRITO FEDERAL</t>
        </is>
      </c>
      <c r="E222" s="2" t="inlineStr">
        <is>
          <t>339039</t>
        </is>
      </c>
      <c r="F222" s="2" t="inlineStr">
        <is>
          <t>102000000</t>
        </is>
      </c>
      <c r="G222" s="2" t="inlineStr">
        <is>
          <t>0</t>
        </is>
      </c>
      <c r="H222" s="3" t="n">
        <v>0</v>
      </c>
      <c r="I222" s="3" t="n">
        <v>1968135</v>
      </c>
      <c r="J222" s="3" t="n">
        <v>0</v>
      </c>
      <c r="K222" s="3" t="n">
        <v>0</v>
      </c>
      <c r="L222" s="3" t="n">
        <v>1968135</v>
      </c>
      <c r="M222" s="3" t="n">
        <v>1968135</v>
      </c>
      <c r="N222" s="3" t="n">
        <v>1427872.19</v>
      </c>
      <c r="O222" s="3" t="n">
        <v>0</v>
      </c>
      <c r="P222" s="3" t="n">
        <v>1968135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</row>
    <row r="223">
      <c r="A223" s="2" t="inlineStr">
        <is>
          <t>23901.0</t>
        </is>
      </c>
      <c r="B223" s="2" t="inlineStr">
        <is>
          <t>FUNDO DE SAÚDE DO DISTRITO FEDERAL</t>
        </is>
      </c>
      <c r="C223" s="2" t="inlineStr">
        <is>
          <t>10.302.6202.4206.0001</t>
        </is>
      </c>
      <c r="D223" s="2" t="inlineStr">
        <is>
          <t>EXECUÇÃO DE CONTRATOS DE GESTÃO - INSTITUTO DE GESTÃO ESTRATÉGICA DE SAÚDE DO DISTRITO FEDERAL - DISTRITO FEDERAL</t>
        </is>
      </c>
      <c r="E223" s="2" t="inlineStr">
        <is>
          <t>339092</t>
        </is>
      </c>
      <c r="F223" s="2" t="inlineStr">
        <is>
          <t>100000000</t>
        </is>
      </c>
      <c r="G223" s="2" t="inlineStr">
        <is>
          <t>0</t>
        </is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104013</v>
      </c>
      <c r="S223" s="3" t="n">
        <v>0</v>
      </c>
      <c r="T223" s="3" t="n">
        <v>0</v>
      </c>
      <c r="U223" s="3" t="n">
        <v>104013</v>
      </c>
      <c r="V223" s="3" t="n">
        <v>0</v>
      </c>
      <c r="W223" s="3" t="n">
        <v>0</v>
      </c>
      <c r="X223" s="3" t="n">
        <v>104013</v>
      </c>
      <c r="Y223" s="3" t="n">
        <v>104013</v>
      </c>
    </row>
    <row r="224">
      <c r="A224" s="2" t="inlineStr">
        <is>
          <t>26205.0</t>
        </is>
      </c>
      <c r="B224" s="2" t="inlineStr">
        <is>
          <t>DEPARTAMENTO DE ESTRADAS DE RODAGEM</t>
        </is>
      </c>
      <c r="C224" s="2" t="inlineStr">
        <is>
          <t>26.782.6216.4195.0001</t>
        </is>
      </c>
      <c r="D224" s="2" t="inlineStr">
        <is>
          <t>CONSERVAÇÃO DE  RODOVIAS-PREVENTIVA E CORRETIVA-DER-DF-DISTRITO FEDERAL</t>
        </is>
      </c>
      <c r="E224" s="2" t="inlineStr">
        <is>
          <t>339039</t>
        </is>
      </c>
      <c r="F224" s="2" t="inlineStr">
        <is>
          <t>183000000</t>
        </is>
      </c>
      <c r="G224" s="2" t="inlineStr">
        <is>
          <t>0</t>
        </is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1506907</v>
      </c>
      <c r="R224" s="3" t="n">
        <v>1043866.16</v>
      </c>
      <c r="S224" s="3" t="n">
        <v>0.59</v>
      </c>
      <c r="T224" s="3" t="n">
        <v>0.57</v>
      </c>
      <c r="U224" s="3" t="n">
        <v>2550772</v>
      </c>
      <c r="V224" s="3" t="n">
        <v>1370000</v>
      </c>
      <c r="W224" s="3" t="n">
        <v>1368076.51</v>
      </c>
      <c r="X224" s="3" t="n">
        <v>1180772</v>
      </c>
      <c r="Y224" s="3" t="n">
        <v>2550773.16</v>
      </c>
    </row>
    <row r="225">
      <c r="A225" s="2" t="inlineStr">
        <is>
          <t>26205.0</t>
        </is>
      </c>
      <c r="B225" s="2" t="inlineStr">
        <is>
          <t>DEPARTAMENTO DE ESTRADAS DE RODAGEM</t>
        </is>
      </c>
      <c r="C225" s="2" t="inlineStr">
        <is>
          <t>26.782.6216.4195.0001</t>
        </is>
      </c>
      <c r="D225" s="2" t="inlineStr">
        <is>
          <t>CONSERVAÇÃO DE  RODOVIAS-PREVENTIVA E CORRETIVA-DER-DF-DISTRITO FEDERAL</t>
        </is>
      </c>
      <c r="E225" s="2" t="inlineStr">
        <is>
          <t>339030</t>
        </is>
      </c>
      <c r="F225" s="2" t="inlineStr">
        <is>
          <t>220000000</t>
        </is>
      </c>
      <c r="G225" s="2" t="inlineStr">
        <is>
          <t>0</t>
        </is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2343843</v>
      </c>
      <c r="R225" s="3" t="n">
        <v>-805000</v>
      </c>
      <c r="S225" s="3" t="n">
        <v>0</v>
      </c>
      <c r="T225" s="3" t="n">
        <v>0</v>
      </c>
      <c r="U225" s="3" t="n">
        <v>1538843</v>
      </c>
      <c r="V225" s="3" t="n">
        <v>1337278.22</v>
      </c>
      <c r="W225" s="3" t="n">
        <v>1336374.03</v>
      </c>
      <c r="X225" s="3" t="n">
        <v>201564.78</v>
      </c>
      <c r="Y225" s="3" t="n">
        <v>1538843</v>
      </c>
    </row>
    <row r="226">
      <c r="A226" s="2" t="inlineStr">
        <is>
          <t>23901.0</t>
        </is>
      </c>
      <c r="B226" s="2" t="inlineStr">
        <is>
          <t>FUNDO DE SAÚDE DO DISTRITO FEDERAL</t>
        </is>
      </c>
      <c r="C226" s="2" t="inlineStr">
        <is>
          <t>10.302.6202.4206.0002</t>
        </is>
      </c>
      <c r="D226" s="2" t="inlineStr">
        <is>
          <t>EXECUÇÃO DE CONTRATOS DE GESTÃO-HOSPITAL DA CRIANÇA DE BRASÍLIA JOSÉ ALENCAR - HCB-DISTRITO FEDERAL</t>
        </is>
      </c>
      <c r="E226" s="2" t="inlineStr">
        <is>
          <t>445092</t>
        </is>
      </c>
      <c r="F226" s="2" t="inlineStr">
        <is>
          <t>338000000</t>
        </is>
      </c>
      <c r="G226" s="2" t="inlineStr">
        <is>
          <t>0</t>
        </is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80888</v>
      </c>
      <c r="S226" s="3" t="n">
        <v>0</v>
      </c>
      <c r="T226" s="3" t="n">
        <v>0</v>
      </c>
      <c r="U226" s="3" t="n">
        <v>80888</v>
      </c>
      <c r="V226" s="3" t="n">
        <v>0</v>
      </c>
      <c r="W226" s="3" t="n">
        <v>0</v>
      </c>
      <c r="X226" s="3" t="n">
        <v>80888</v>
      </c>
      <c r="Y226" s="3" t="n">
        <v>80888</v>
      </c>
    </row>
    <row r="227">
      <c r="A227" s="2" t="inlineStr">
        <is>
          <t>26205.0</t>
        </is>
      </c>
      <c r="B227" s="2" t="inlineStr">
        <is>
          <t>DEPARTAMENTO DE ESTRADAS DE RODAGEM</t>
        </is>
      </c>
      <c r="C227" s="2" t="inlineStr">
        <is>
          <t>26.782.6216.4195.0001</t>
        </is>
      </c>
      <c r="D227" s="2" t="inlineStr">
        <is>
          <t>CONSERVAÇÃO DE  RODOVIAS-PREVENTIVA E CORRETIVA-DER-DF-DISTRITO FEDERAL</t>
        </is>
      </c>
      <c r="E227" s="2" t="inlineStr">
        <is>
          <t>339039</t>
        </is>
      </c>
      <c r="F227" s="2" t="inlineStr">
        <is>
          <t>100000000</t>
        </is>
      </c>
      <c r="G227" s="2" t="inlineStr">
        <is>
          <t>0</t>
        </is>
      </c>
      <c r="H227" s="3" t="n">
        <v>0</v>
      </c>
      <c r="I227" s="3" t="n">
        <v>47669896.77</v>
      </c>
      <c r="J227" s="3" t="n">
        <v>0.52</v>
      </c>
      <c r="K227" s="3" t="n">
        <v>0</v>
      </c>
      <c r="L227" s="3" t="n">
        <v>47669896.25</v>
      </c>
      <c r="M227" s="3" t="n">
        <v>47661520.75</v>
      </c>
      <c r="N227" s="3" t="n">
        <v>47400173.12</v>
      </c>
      <c r="O227" s="3" t="n">
        <v>8375.5</v>
      </c>
      <c r="P227" s="3" t="n">
        <v>47669896.77</v>
      </c>
      <c r="Q227" s="3" t="n">
        <v>52000000</v>
      </c>
      <c r="R227" s="3" t="n">
        <v>-18068668.89</v>
      </c>
      <c r="S227" s="3" t="n">
        <v>0</v>
      </c>
      <c r="T227" s="3" t="n">
        <v>0</v>
      </c>
      <c r="U227" s="3" t="n">
        <v>33931331.11</v>
      </c>
      <c r="V227" s="3" t="n">
        <v>22970890.51</v>
      </c>
      <c r="W227" s="3" t="n">
        <v>15886679.29</v>
      </c>
      <c r="X227" s="3" t="n">
        <v>10960440.6</v>
      </c>
      <c r="Y227" s="3" t="n">
        <v>33931331.11</v>
      </c>
    </row>
    <row r="228">
      <c r="A228" s="2" t="inlineStr">
        <is>
          <t>17902.0</t>
        </is>
      </c>
      <c r="B228" s="2" t="inlineStr">
        <is>
          <t>FUNDO DE ASSISTÊNCIA SOCIAL DO DISTRITO FEDERAL</t>
        </is>
      </c>
      <c r="C228" s="2" t="inlineStr">
        <is>
          <t>08.245.6228.9073.0003</t>
        </is>
      </c>
      <c r="D228" s="2" t="inlineStr">
        <is>
          <t>TRANSFERÊNCIA PARA BLOCO DA PROTEÇÃO SOCIAL ESPECI - TRANSFERÊNCIA DEMAIS INDIVÍDUOS E FAMÍLIA - DISTRITO FEDERAL</t>
        </is>
      </c>
      <c r="E228" s="2" t="inlineStr">
        <is>
          <t>335043</t>
        </is>
      </c>
      <c r="F228" s="2" t="inlineStr">
        <is>
          <t>183000000</t>
        </is>
      </c>
      <c r="G228" s="2" t="inlineStr">
        <is>
          <t>0</t>
        </is>
      </c>
      <c r="H228" s="3" t="n">
        <v>0</v>
      </c>
      <c r="I228" s="3" t="n">
        <v>952765</v>
      </c>
      <c r="J228" s="3" t="n">
        <v>0</v>
      </c>
      <c r="K228" s="3" t="n">
        <v>0</v>
      </c>
      <c r="L228" s="3" t="n">
        <v>952765</v>
      </c>
      <c r="M228" s="3" t="n">
        <v>952765</v>
      </c>
      <c r="N228" s="3" t="n">
        <v>846030.8199999999</v>
      </c>
      <c r="O228" s="3" t="n">
        <v>0</v>
      </c>
      <c r="P228" s="3" t="n">
        <v>952765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</row>
    <row r="229">
      <c r="A229" s="2" t="inlineStr">
        <is>
          <t>22201.0</t>
        </is>
      </c>
      <c r="B229" s="2" t="inlineStr">
        <is>
          <t xml:space="preserve">COMPANHIA URBANIZADORA DA NOVA CAPITAL </t>
        </is>
      </c>
      <c r="C229" s="2" t="inlineStr">
        <is>
          <t>15.452.6209.8508.0002</t>
        </is>
      </c>
      <c r="D229" s="2" t="inlineStr">
        <is>
          <t>MANUTENÇÃO DE ÁREAS URBANIZADAS E AJARDINADAS-MANUTENÇÃO DE VIAS PÚBLICAS-DISTRITO FEDERAL</t>
        </is>
      </c>
      <c r="E229" s="2" t="inlineStr">
        <is>
          <t>339033</t>
        </is>
      </c>
      <c r="F229" s="2" t="inlineStr">
        <is>
          <t>183000000</t>
        </is>
      </c>
      <c r="G229" s="2" t="inlineStr">
        <is>
          <t>0</t>
        </is>
      </c>
      <c r="H229" s="3" t="n">
        <v>0</v>
      </c>
      <c r="I229" s="3" t="n">
        <v>1671889</v>
      </c>
      <c r="J229" s="3" t="n">
        <v>140.01</v>
      </c>
      <c r="K229" s="3" t="n">
        <v>0</v>
      </c>
      <c r="L229" s="3" t="n">
        <v>1671748.99</v>
      </c>
      <c r="M229" s="3" t="n">
        <v>1671748.99</v>
      </c>
      <c r="N229" s="3" t="n">
        <v>1671748.99</v>
      </c>
      <c r="O229" s="3" t="n">
        <v>0</v>
      </c>
      <c r="P229" s="3" t="n">
        <v>1671889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</row>
    <row r="230">
      <c r="A230" s="2" t="inlineStr">
        <is>
          <t>22214.0</t>
        </is>
      </c>
      <c r="B230" s="2" t="inlineStr">
        <is>
          <t xml:space="preserve">SERVIÇO DE LIMPEZA URBANA </t>
        </is>
      </c>
      <c r="C230" s="2" t="inlineStr">
        <is>
          <t>15.452.6209.2079.6118</t>
        </is>
      </c>
      <c r="D230" s="2" t="inlineStr">
        <is>
          <t>MANUTENÇÃO DAS ATIVIDADES DE LIMPEZA PÚBLICA--DISTRITO FEDERAL</t>
        </is>
      </c>
      <c r="E230" s="2" t="inlineStr">
        <is>
          <t>339030</t>
        </is>
      </c>
      <c r="F230" s="2" t="inlineStr">
        <is>
          <t>220000000</t>
        </is>
      </c>
      <c r="G230" s="2" t="inlineStr">
        <is>
          <t>0</t>
        </is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247280</v>
      </c>
      <c r="S230" s="3" t="n">
        <v>0</v>
      </c>
      <c r="T230" s="3" t="n">
        <v>0</v>
      </c>
      <c r="U230" s="3" t="n">
        <v>247280</v>
      </c>
      <c r="V230" s="3" t="n">
        <v>247280</v>
      </c>
      <c r="W230" s="3" t="n">
        <v>168600</v>
      </c>
      <c r="X230" s="3" t="n">
        <v>0</v>
      </c>
      <c r="Y230" s="3" t="n">
        <v>247280</v>
      </c>
    </row>
    <row r="231">
      <c r="A231" s="2" t="inlineStr">
        <is>
          <t>17101.0</t>
        </is>
      </c>
      <c r="B231" s="2" t="inlineStr">
        <is>
          <t xml:space="preserve">SECRETARIA DE ESTADO DE DESENVOLVIMENTO  SOCIAL DO DISTRITO FEDERAL                                                                                   </t>
        </is>
      </c>
      <c r="C231" s="2" t="inlineStr">
        <is>
          <t>08.244.6228.4272.0001</t>
        </is>
      </c>
      <c r="D231" s="2" t="inlineStr">
        <is>
          <t>FORNECIMENTO EMERGENCIAL DE ALIMENTOS-- SETOR COMPL. DE IND. E ABASTECIMENTO</t>
        </is>
      </c>
      <c r="E231" s="2" t="inlineStr">
        <is>
          <t>339048</t>
        </is>
      </c>
      <c r="F231" s="2" t="inlineStr">
        <is>
          <t>161000000</t>
        </is>
      </c>
      <c r="G231" s="2" t="inlineStr">
        <is>
          <t>0</t>
        </is>
      </c>
      <c r="H231" s="3" t="n">
        <v>0</v>
      </c>
      <c r="I231" s="3" t="n">
        <v>31344000</v>
      </c>
      <c r="J231" s="3" t="n">
        <v>0</v>
      </c>
      <c r="K231" s="3" t="n">
        <v>0</v>
      </c>
      <c r="L231" s="3" t="n">
        <v>31344000</v>
      </c>
      <c r="M231" s="3" t="n">
        <v>31344000</v>
      </c>
      <c r="N231" s="3" t="n">
        <v>31344000</v>
      </c>
      <c r="O231" s="3" t="n">
        <v>0</v>
      </c>
      <c r="P231" s="3" t="n">
        <v>31344000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</row>
    <row r="232">
      <c r="A232" s="2" t="inlineStr">
        <is>
          <t>22201.0</t>
        </is>
      </c>
      <c r="B232" s="2" t="inlineStr">
        <is>
          <t xml:space="preserve">COMPANHIA URBANIZADORA DA NOVA CAPITAL </t>
        </is>
      </c>
      <c r="C232" s="2" t="inlineStr">
        <is>
          <t>15.452.6209.8508.0002</t>
        </is>
      </c>
      <c r="D232" s="2" t="inlineStr">
        <is>
          <t>MANUTENÇÃO DE ÁREAS URBANIZADAS E AJARDINADAS-MANUTENÇÃO DE VIAS PÚBLICAS-DISTRITO FEDERAL</t>
        </is>
      </c>
      <c r="E232" s="2" t="inlineStr">
        <is>
          <t>339033</t>
        </is>
      </c>
      <c r="F232" s="2" t="inlineStr">
        <is>
          <t>161000000</t>
        </is>
      </c>
      <c r="G232" s="2" t="inlineStr">
        <is>
          <t>0</t>
        </is>
      </c>
      <c r="H232" s="3" t="n">
        <v>0</v>
      </c>
      <c r="I232" s="3" t="n">
        <v>362756.68</v>
      </c>
      <c r="J232" s="3" t="n">
        <v>0</v>
      </c>
      <c r="K232" s="3" t="n">
        <v>0</v>
      </c>
      <c r="L232" s="3" t="n">
        <v>362756.68</v>
      </c>
      <c r="M232" s="3" t="n">
        <v>362756.68</v>
      </c>
      <c r="N232" s="3" t="n">
        <v>362756.68</v>
      </c>
      <c r="O232" s="3" t="n">
        <v>0</v>
      </c>
      <c r="P232" s="3" t="n">
        <v>362756.68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</row>
    <row r="233">
      <c r="A233" s="2" t="inlineStr">
        <is>
          <t>18101.0</t>
        </is>
      </c>
      <c r="B233" s="2" t="inlineStr">
        <is>
          <t>SECRETARIA DE ESTADO DE  EDUCAÇÃO DO DISTRITO FEDERAL</t>
        </is>
      </c>
      <c r="C233" s="2" t="inlineStr">
        <is>
          <t>12.122.6221.4091.0096</t>
        </is>
      </c>
      <c r="D233" s="2" t="inlineStr">
        <is>
          <t>APOIO A PROJETOS-EDUCADOR SOCIAL VOLUNTÁRIO (ESV)-DISTRITO FEDERAL</t>
        </is>
      </c>
      <c r="E233" s="2" t="inlineStr">
        <is>
          <t>339048</t>
        </is>
      </c>
      <c r="F233" s="2" t="inlineStr">
        <is>
          <t>303000000</t>
        </is>
      </c>
      <c r="G233" s="2" t="inlineStr">
        <is>
          <t>0</t>
        </is>
      </c>
      <c r="H233" s="3" t="n">
        <v>0</v>
      </c>
      <c r="I233" s="3" t="n">
        <v>16323142</v>
      </c>
      <c r="J233" s="3" t="n">
        <v>0</v>
      </c>
      <c r="K233" s="3" t="n">
        <v>0</v>
      </c>
      <c r="L233" s="3" t="n">
        <v>16323142</v>
      </c>
      <c r="M233" s="3" t="n">
        <v>16323142</v>
      </c>
      <c r="N233" s="3" t="n">
        <v>16323142</v>
      </c>
      <c r="O233" s="3" t="n">
        <v>0</v>
      </c>
      <c r="P233" s="3" t="n">
        <v>16323142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</row>
    <row r="234">
      <c r="A234" s="2" t="inlineStr">
        <is>
          <t>26101.0</t>
        </is>
      </c>
      <c r="B234" s="2" t="inlineStr">
        <is>
          <t>SECRETARIA DE ESTADO DE TRANSPORTE E MOBILIDADE DO DISTRITO FEDERAL</t>
        </is>
      </c>
      <c r="C234" s="2" t="inlineStr">
        <is>
          <t>26.453.6216.2455.0002</t>
        </is>
      </c>
      <c r="D234" s="2" t="inlineStr">
        <is>
          <t>MANUTENÇÃO DO EQUILÍBRIO FINANCEIRO DO SISTEMA DE TRANSPORTE PÚBLICO COLETIVO - STPC--DISTRITO FEDERAL</t>
        </is>
      </c>
      <c r="E234" s="2" t="inlineStr">
        <is>
          <t>339039</t>
        </is>
      </c>
      <c r="F234" s="2" t="inlineStr">
        <is>
          <t>102000000</t>
        </is>
      </c>
      <c r="G234" s="2" t="inlineStr">
        <is>
          <t>0</t>
        </is>
      </c>
      <c r="H234" s="3" t="n">
        <v>0</v>
      </c>
      <c r="I234" s="3" t="n">
        <v>56328800</v>
      </c>
      <c r="J234" s="3" t="n">
        <v>0</v>
      </c>
      <c r="K234" s="3" t="n">
        <v>0</v>
      </c>
      <c r="L234" s="3" t="n">
        <v>56328800</v>
      </c>
      <c r="M234" s="3" t="n">
        <v>56328799.99</v>
      </c>
      <c r="N234" s="3" t="n">
        <v>56328799.99</v>
      </c>
      <c r="O234" s="3" t="n">
        <v>0.01</v>
      </c>
      <c r="P234" s="3" t="n">
        <v>56328800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</row>
    <row r="235">
      <c r="A235" s="2" t="inlineStr">
        <is>
          <t>26205.0</t>
        </is>
      </c>
      <c r="B235" s="2" t="inlineStr">
        <is>
          <t>DEPARTAMENTO DE ESTRADAS DE RODAGEM</t>
        </is>
      </c>
      <c r="C235" s="2" t="inlineStr">
        <is>
          <t>26.782.6216.4195.0001</t>
        </is>
      </c>
      <c r="D235" s="2" t="inlineStr">
        <is>
          <t>CONSERVAÇÃO DE  RODOVIAS-PREVENTIVA E CORRETIVA-DER-DF-DISTRITO FEDERAL</t>
        </is>
      </c>
      <c r="E235" s="2" t="inlineStr">
        <is>
          <t>339039</t>
        </is>
      </c>
      <c r="F235" s="2" t="inlineStr">
        <is>
          <t>437000000</t>
        </is>
      </c>
      <c r="G235" s="2" t="inlineStr">
        <is>
          <t>0</t>
        </is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</row>
  </sheetData>
  <mergeCells count="2">
    <mergeCell ref="H1:P1"/>
    <mergeCell ref="Q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22" customWidth="1" min="12" max="12"/>
    <col width="22" customWidth="1" min="13" max="13"/>
  </cols>
  <sheetData>
    <row r="1">
      <c r="A1" s="4" t="inlineStr">
        <is>
          <t>LIQUIDADO MENSAL 2026 (base do Comparativo 2) — fonte: liq.xlsx</t>
        </is>
      </c>
    </row>
    <row r="3" ht="30" customHeight="1">
      <c r="A3" s="5" t="inlineStr">
        <is>
          <t>PROGRAMA DE TRABALHO</t>
        </is>
      </c>
      <c r="B3" s="5" t="inlineStr">
        <is>
          <t>FONTE (3 díg)</t>
        </is>
      </c>
      <c r="C3" s="5" t="inlineStr">
        <is>
          <t>JAN</t>
        </is>
      </c>
      <c r="D3" s="5" t="inlineStr">
        <is>
          <t>FEV</t>
        </is>
      </c>
      <c r="E3" s="5" t="inlineStr">
        <is>
          <t>MAR</t>
        </is>
      </c>
      <c r="F3" s="5" t="inlineStr">
        <is>
          <t>ABR</t>
        </is>
      </c>
      <c r="G3" s="5" t="inlineStr">
        <is>
          <t>MAI</t>
        </is>
      </c>
      <c r="H3" s="5" t="inlineStr">
        <is>
          <t>JUN</t>
        </is>
      </c>
      <c r="I3" s="5" t="inlineStr">
        <is>
          <t>JUL</t>
        </is>
      </c>
      <c r="J3" s="5" t="inlineStr">
        <is>
          <t>AGO</t>
        </is>
      </c>
      <c r="K3" s="5" t="inlineStr">
        <is>
          <t>ACUMULADO (jan–ago)</t>
        </is>
      </c>
      <c r="L3" s="5" t="inlineStr">
        <is>
          <t>MÉDIA 5 MESES (abr–ago)</t>
        </is>
      </c>
      <c r="M3" s="5" t="inlineStr">
        <is>
          <t>MEDIANA 5 MESES (abr–ago)</t>
        </is>
      </c>
    </row>
    <row r="4">
      <c r="A4" s="2" t="inlineStr">
        <is>
          <t>15.452.6209.2079.6118</t>
        </is>
      </c>
      <c r="B4" s="6" t="inlineStr">
        <is>
          <t>100</t>
        </is>
      </c>
      <c r="C4" s="3" t="n">
        <v>42000042.65</v>
      </c>
      <c r="D4" s="3" t="n">
        <v>65598831.71</v>
      </c>
      <c r="E4" s="3" t="n">
        <v>72731281.77</v>
      </c>
      <c r="F4" s="3" t="n">
        <v>27690384.44</v>
      </c>
      <c r="G4" s="3" t="n">
        <v>101279558.39</v>
      </c>
      <c r="H4" s="3" t="n">
        <v>62461801.64</v>
      </c>
      <c r="I4" s="3" t="n">
        <v>69949674.87</v>
      </c>
      <c r="J4" s="3" t="n">
        <v>5816326.92</v>
      </c>
      <c r="K4" s="7" t="n">
        <v>447527902.39</v>
      </c>
      <c r="L4" s="7" t="n">
        <v>53439549.252</v>
      </c>
      <c r="M4" s="7" t="n">
        <v>62461801.64</v>
      </c>
    </row>
    <row r="5">
      <c r="A5" s="2" t="inlineStr">
        <is>
          <t>08.244.6228.4162.0008</t>
        </is>
      </c>
      <c r="B5" s="6" t="inlineStr">
        <is>
          <t>100</t>
        </is>
      </c>
      <c r="C5" s="3" t="n">
        <v>20881940</v>
      </c>
      <c r="D5" s="3" t="n">
        <v>10458540</v>
      </c>
      <c r="E5" s="3" t="n">
        <v>10488120</v>
      </c>
      <c r="F5" s="3" t="n">
        <v>10471830</v>
      </c>
      <c r="G5" s="3" t="n">
        <v>10458420</v>
      </c>
      <c r="H5" s="3" t="n">
        <v>10468110</v>
      </c>
      <c r="I5" s="3" t="n">
        <v>10463710</v>
      </c>
      <c r="J5" s="3" t="n">
        <v>10486330</v>
      </c>
      <c r="K5" s="7" t="n">
        <v>94177000</v>
      </c>
      <c r="L5" s="7" t="n">
        <v>10469680</v>
      </c>
      <c r="M5" s="7" t="n">
        <v>10468110</v>
      </c>
    </row>
    <row r="6">
      <c r="A6" s="2" t="inlineStr">
        <is>
          <t>06.421.6217.2727.0006</t>
        </is>
      </c>
      <c r="B6" s="6" t="inlineStr">
        <is>
          <t>100</t>
        </is>
      </c>
      <c r="C6" s="3" t="n">
        <v>5050405.1</v>
      </c>
      <c r="D6" s="3" t="n">
        <v>151942.61</v>
      </c>
      <c r="E6" s="3" t="n">
        <v>10361832.67</v>
      </c>
      <c r="F6" s="3" t="n">
        <v>5912162.26</v>
      </c>
      <c r="G6" s="3" t="n">
        <v>5682165.31</v>
      </c>
      <c r="H6" s="3" t="n">
        <v>5401147.99</v>
      </c>
      <c r="I6" s="3" t="n">
        <v>7759232.85</v>
      </c>
      <c r="J6" s="3" t="n">
        <v>5930646.61</v>
      </c>
      <c r="K6" s="7" t="n">
        <v>46249535.4</v>
      </c>
      <c r="L6" s="7" t="n">
        <v>6137071.004</v>
      </c>
      <c r="M6" s="7" t="n">
        <v>5912162.26</v>
      </c>
    </row>
    <row r="7">
      <c r="A7" s="2" t="inlineStr">
        <is>
          <t>26.782.6216.4195.0001</t>
        </is>
      </c>
      <c r="B7" s="6" t="inlineStr">
        <is>
          <t>183</t>
        </is>
      </c>
      <c r="C7" s="3" t="n">
        <v>0</v>
      </c>
      <c r="D7" s="3" t="n">
        <v>155549.92</v>
      </c>
      <c r="E7" s="3" t="n">
        <v>1285831.29</v>
      </c>
      <c r="F7" s="3" t="n">
        <v>1177205.9</v>
      </c>
      <c r="G7" s="3" t="n">
        <v>152998.63</v>
      </c>
      <c r="H7" s="3" t="n">
        <v>128928.61</v>
      </c>
      <c r="I7" s="3" t="n">
        <v>0</v>
      </c>
      <c r="J7" s="3" t="n">
        <v>2530.59</v>
      </c>
      <c r="K7" s="7" t="n">
        <v>2903044.94</v>
      </c>
      <c r="L7" s="7" t="n">
        <v>292332.746</v>
      </c>
      <c r="M7" s="7" t="n">
        <v>128928.61</v>
      </c>
    </row>
    <row r="8">
      <c r="A8" s="2" t="inlineStr">
        <is>
          <t>10.302.6202.4206.0002</t>
        </is>
      </c>
      <c r="B8" s="6" t="inlineStr">
        <is>
          <t>838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7" t="n">
        <v>0</v>
      </c>
      <c r="L8" s="7" t="n">
        <v>0</v>
      </c>
      <c r="M8" s="7" t="n">
        <v>0</v>
      </c>
    </row>
    <row r="9">
      <c r="A9" s="2" t="inlineStr">
        <is>
          <t>06.422.6217.2540.0002</t>
        </is>
      </c>
      <c r="B9" s="6" t="inlineStr">
        <is>
          <t>100</t>
        </is>
      </c>
      <c r="C9" s="3" t="n">
        <v>6187675.78</v>
      </c>
      <c r="D9" s="3" t="n">
        <v>7662330.42</v>
      </c>
      <c r="E9" s="3" t="n">
        <v>11343644.4</v>
      </c>
      <c r="F9" s="3" t="n">
        <v>15007844.22</v>
      </c>
      <c r="G9" s="3" t="n">
        <v>0</v>
      </c>
      <c r="H9" s="3" t="n">
        <v>10240239.72</v>
      </c>
      <c r="I9" s="3" t="n">
        <v>10724183.93</v>
      </c>
      <c r="J9" s="3" t="n">
        <v>16053543.23</v>
      </c>
      <c r="K9" s="7" t="n">
        <v>77219461.7</v>
      </c>
      <c r="L9" s="7" t="n">
        <v>10405162.22</v>
      </c>
      <c r="M9" s="7" t="n">
        <v>10724183.93</v>
      </c>
    </row>
    <row r="10">
      <c r="A10" s="2" t="inlineStr">
        <is>
          <t>17.512.6209.2903.0001</t>
        </is>
      </c>
      <c r="B10" s="6" t="inlineStr">
        <is>
          <t>100</t>
        </is>
      </c>
      <c r="C10" s="3" t="n">
        <v>0</v>
      </c>
      <c r="D10" s="3" t="n">
        <v>0</v>
      </c>
      <c r="E10" s="3" t="n">
        <v>3277181.49</v>
      </c>
      <c r="F10" s="3" t="n">
        <v>14645606.47</v>
      </c>
      <c r="G10" s="3" t="n">
        <v>0</v>
      </c>
      <c r="H10" s="3" t="n">
        <v>12292503.65</v>
      </c>
      <c r="I10" s="3" t="n">
        <v>10885187.75</v>
      </c>
      <c r="J10" s="3" t="n">
        <v>23807453.01</v>
      </c>
      <c r="K10" s="7" t="n">
        <v>64907932.37</v>
      </c>
      <c r="L10" s="7" t="n">
        <v>12326150.176</v>
      </c>
      <c r="M10" s="7" t="n">
        <v>12292503.65</v>
      </c>
    </row>
    <row r="11">
      <c r="A11" s="2" t="inlineStr">
        <is>
          <t>10.302.6202.4206.0001</t>
        </is>
      </c>
      <c r="B11" s="6" t="inlineStr">
        <is>
          <t>100</t>
        </is>
      </c>
      <c r="C11" s="3" t="n">
        <v>176745276.15</v>
      </c>
      <c r="D11" s="3" t="n">
        <v>38236168.99</v>
      </c>
      <c r="E11" s="3" t="n">
        <v>153443183.82</v>
      </c>
      <c r="F11" s="3" t="n">
        <v>0</v>
      </c>
      <c r="G11" s="3" t="n">
        <v>27786307</v>
      </c>
      <c r="H11" s="3" t="n">
        <v>43852944.84</v>
      </c>
      <c r="I11" s="3" t="n">
        <v>42405833.7</v>
      </c>
      <c r="J11" s="3" t="n">
        <v>35392829.86</v>
      </c>
      <c r="K11" s="7" t="n">
        <v>517862544.36</v>
      </c>
      <c r="L11" s="7" t="n">
        <v>29887583.08</v>
      </c>
      <c r="M11" s="7" t="n">
        <v>35392829.86</v>
      </c>
    </row>
    <row r="12">
      <c r="A12" s="2" t="inlineStr">
        <is>
          <t>10.302.6202.4206.0002</t>
        </is>
      </c>
      <c r="B12" s="6" t="inlineStr">
        <is>
          <t>100</t>
        </is>
      </c>
      <c r="C12" s="3" t="n">
        <v>0</v>
      </c>
      <c r="D12" s="3" t="n">
        <v>11272957.2</v>
      </c>
      <c r="E12" s="3" t="n">
        <v>41237805.75</v>
      </c>
      <c r="F12" s="3" t="n">
        <v>0</v>
      </c>
      <c r="G12" s="3" t="n">
        <v>26647218.36</v>
      </c>
      <c r="H12" s="3" t="n">
        <v>0</v>
      </c>
      <c r="I12" s="3" t="n">
        <v>0</v>
      </c>
      <c r="J12" s="3" t="n">
        <v>32464636.23</v>
      </c>
      <c r="K12" s="7" t="n">
        <v>111622617.54</v>
      </c>
      <c r="L12" s="7" t="n">
        <v>11822370.918</v>
      </c>
      <c r="M12" s="7" t="n">
        <v>0</v>
      </c>
    </row>
    <row r="13">
      <c r="A13" s="2" t="inlineStr">
        <is>
          <t>15.452.6209.8508.0002</t>
        </is>
      </c>
      <c r="B13" s="6" t="inlineStr">
        <is>
          <t>100</t>
        </is>
      </c>
      <c r="C13" s="3" t="n">
        <v>42604368.4</v>
      </c>
      <c r="D13" s="3" t="n">
        <v>2029654.51</v>
      </c>
      <c r="E13" s="3" t="n">
        <v>42860313.41</v>
      </c>
      <c r="F13" s="3" t="n">
        <v>3078489.19</v>
      </c>
      <c r="G13" s="3" t="n">
        <v>23612374.78</v>
      </c>
      <c r="H13" s="3" t="n">
        <v>66981545.12</v>
      </c>
      <c r="I13" s="3" t="n">
        <v>9807930.73</v>
      </c>
      <c r="J13" s="3" t="n">
        <v>19706508.46</v>
      </c>
      <c r="K13" s="7" t="n">
        <v>210681184.6</v>
      </c>
      <c r="L13" s="7" t="n">
        <v>24637369.656</v>
      </c>
      <c r="M13" s="7" t="n">
        <v>19706508.46</v>
      </c>
    </row>
    <row r="14">
      <c r="A14" s="2" t="inlineStr">
        <is>
          <t>12.361.6221.4202.0004</t>
        </is>
      </c>
      <c r="B14" s="6" t="inlineStr">
        <is>
          <t>100</t>
        </is>
      </c>
      <c r="C14" s="3" t="n">
        <v>8929747.470000001</v>
      </c>
      <c r="D14" s="3" t="n">
        <v>1873834.57</v>
      </c>
      <c r="E14" s="3" t="n">
        <v>18517735.91</v>
      </c>
      <c r="F14" s="3" t="n">
        <v>23276999.78</v>
      </c>
      <c r="G14" s="3" t="n">
        <v>2463826.51</v>
      </c>
      <c r="H14" s="3" t="n">
        <v>1787788.53</v>
      </c>
      <c r="I14" s="3" t="n">
        <v>1735923.76</v>
      </c>
      <c r="J14" s="3" t="n">
        <v>871367.29</v>
      </c>
      <c r="K14" s="7" t="n">
        <v>59457223.82</v>
      </c>
      <c r="L14" s="7" t="n">
        <v>6027181.174000001</v>
      </c>
      <c r="M14" s="7" t="n">
        <v>1787788.53</v>
      </c>
    </row>
    <row r="15">
      <c r="A15" s="2" t="inlineStr">
        <is>
          <t>26.782.6216.4195.0001</t>
        </is>
      </c>
      <c r="B15" s="6" t="inlineStr">
        <is>
          <t>100</t>
        </is>
      </c>
      <c r="C15" s="3" t="n">
        <v>122372.19</v>
      </c>
      <c r="D15" s="3" t="n">
        <v>8109976.48</v>
      </c>
      <c r="E15" s="3" t="n">
        <v>3910565.59</v>
      </c>
      <c r="F15" s="3" t="n">
        <v>3495868.96</v>
      </c>
      <c r="G15" s="3" t="n">
        <v>3308671.28</v>
      </c>
      <c r="H15" s="3" t="n">
        <v>7580557.3</v>
      </c>
      <c r="I15" s="3" t="n">
        <v>4840597.09</v>
      </c>
      <c r="J15" s="3" t="n">
        <v>6142672.32</v>
      </c>
      <c r="K15" s="7" t="n">
        <v>37511281.21</v>
      </c>
      <c r="L15" s="7" t="n">
        <v>5073673.39</v>
      </c>
      <c r="M15" s="7" t="n">
        <v>4840597.09</v>
      </c>
    </row>
    <row r="16">
      <c r="A16" s="2" t="inlineStr">
        <is>
          <t>04.122.8203.2990.0006</t>
        </is>
      </c>
      <c r="B16" s="6" t="inlineStr">
        <is>
          <t>183</t>
        </is>
      </c>
      <c r="C16" s="3" t="n">
        <v>5339723.01</v>
      </c>
      <c r="D16" s="3" t="n">
        <v>3368320.23</v>
      </c>
      <c r="E16" s="3" t="n">
        <v>49551583.84</v>
      </c>
      <c r="F16" s="3" t="n">
        <v>3690101.65</v>
      </c>
      <c r="G16" s="3" t="n">
        <v>3356968.07</v>
      </c>
      <c r="H16" s="3" t="n">
        <v>247210.35</v>
      </c>
      <c r="I16" s="3" t="n">
        <v>715901.6899999999</v>
      </c>
      <c r="J16" s="3" t="n">
        <v>0</v>
      </c>
      <c r="K16" s="7" t="n">
        <v>66269808.84</v>
      </c>
      <c r="L16" s="7" t="n">
        <v>1602036.352</v>
      </c>
      <c r="M16" s="7" t="n">
        <v>715901.6899999999</v>
      </c>
    </row>
    <row r="17">
      <c r="A17" s="2" t="inlineStr">
        <is>
          <t>10.302.6202.4206.0002</t>
        </is>
      </c>
      <c r="B17" s="6" t="inlineStr">
        <is>
          <t>839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7" t="n">
        <v>0</v>
      </c>
      <c r="L17" s="7" t="n">
        <v>0</v>
      </c>
      <c r="M17" s="7" t="n">
        <v>0</v>
      </c>
    </row>
    <row r="18">
      <c r="A18" s="2" t="inlineStr">
        <is>
          <t>26.453.6216.2455.0002</t>
        </is>
      </c>
      <c r="B18" s="6" t="inlineStr">
        <is>
          <t>100</t>
        </is>
      </c>
      <c r="C18" s="3" t="n">
        <v>57409881.24</v>
      </c>
      <c r="D18" s="3" t="n">
        <v>135049158.13</v>
      </c>
      <c r="E18" s="3" t="n">
        <v>135991827.75</v>
      </c>
      <c r="F18" s="3" t="n">
        <v>99621450.17</v>
      </c>
      <c r="G18" s="3" t="n">
        <v>86898580.62</v>
      </c>
      <c r="H18" s="3" t="n">
        <v>164459136.14</v>
      </c>
      <c r="I18" s="3" t="n">
        <v>118691018.7</v>
      </c>
      <c r="J18" s="3" t="n">
        <v>102705870.1</v>
      </c>
      <c r="K18" s="7" t="n">
        <v>900826922.85</v>
      </c>
      <c r="L18" s="7" t="n">
        <v>114475211.146</v>
      </c>
      <c r="M18" s="7" t="n">
        <v>102705870.1</v>
      </c>
    </row>
    <row r="19">
      <c r="A19" s="2" t="inlineStr">
        <is>
          <t>10.302.6202.4206.0002</t>
        </is>
      </c>
      <c r="B19" s="6" t="inlineStr">
        <is>
          <t>138</t>
        </is>
      </c>
      <c r="C19" s="3" t="n">
        <v>0</v>
      </c>
      <c r="D19" s="3" t="n">
        <v>8314554.3</v>
      </c>
      <c r="E19" s="3" t="n">
        <v>1745531.7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7" t="n">
        <v>10060086</v>
      </c>
      <c r="L19" s="7" t="n">
        <v>0</v>
      </c>
      <c r="M19" s="7" t="n">
        <v>0</v>
      </c>
    </row>
    <row r="20">
      <c r="A20" s="2" t="inlineStr">
        <is>
          <t>04.122.8203.2984.0001</t>
        </is>
      </c>
      <c r="B20" s="6" t="inlineStr">
        <is>
          <t>100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429038.76</v>
      </c>
      <c r="H20" s="3" t="n">
        <v>369850</v>
      </c>
      <c r="I20" s="3" t="n">
        <v>379970.63</v>
      </c>
      <c r="J20" s="3" t="n">
        <v>1053.25</v>
      </c>
      <c r="K20" s="7" t="n">
        <v>1179912.64</v>
      </c>
      <c r="L20" s="7" t="n">
        <v>235982.528</v>
      </c>
      <c r="M20" s="7" t="n">
        <v>369850</v>
      </c>
    </row>
    <row r="21">
      <c r="A21" s="2" t="inlineStr">
        <is>
          <t>26.782.6216.2885.0001</t>
        </is>
      </c>
      <c r="B21" s="6" t="inlineStr">
        <is>
          <t>237</t>
        </is>
      </c>
      <c r="C21" s="3" t="n">
        <v>51105.12</v>
      </c>
      <c r="D21" s="3" t="n">
        <v>94219.14</v>
      </c>
      <c r="E21" s="3" t="n">
        <v>672471.47</v>
      </c>
      <c r="F21" s="3" t="n">
        <v>149556.07</v>
      </c>
      <c r="G21" s="3" t="n">
        <v>38736.79</v>
      </c>
      <c r="H21" s="3" t="n">
        <v>18496.63</v>
      </c>
      <c r="I21" s="3" t="n">
        <v>17816.13</v>
      </c>
      <c r="J21" s="3" t="n">
        <v>1673.57</v>
      </c>
      <c r="K21" s="7" t="n">
        <v>1044074.92</v>
      </c>
      <c r="L21" s="7" t="n">
        <v>45255.838</v>
      </c>
      <c r="M21" s="7" t="n">
        <v>18496.63</v>
      </c>
    </row>
    <row r="22">
      <c r="A22" s="2" t="inlineStr">
        <is>
          <t>08.306.6228.4175.0002</t>
        </is>
      </c>
      <c r="B22" s="6" t="inlineStr">
        <is>
          <t>100</t>
        </is>
      </c>
      <c r="C22" s="3" t="n">
        <v>0</v>
      </c>
      <c r="D22" s="3" t="n">
        <v>7853596.7</v>
      </c>
      <c r="E22" s="3" t="n">
        <v>8932100.710000001</v>
      </c>
      <c r="F22" s="3" t="n">
        <v>8553269.91</v>
      </c>
      <c r="G22" s="3" t="n">
        <v>9293709.779999999</v>
      </c>
      <c r="H22" s="3" t="n">
        <v>8035087.8</v>
      </c>
      <c r="I22" s="3" t="n">
        <v>8680403.060000001</v>
      </c>
      <c r="J22" s="3" t="n">
        <v>9168450.52</v>
      </c>
      <c r="K22" s="7" t="n">
        <v>60516618.48</v>
      </c>
      <c r="L22" s="7" t="n">
        <v>8746184.214</v>
      </c>
      <c r="M22" s="7" t="n">
        <v>8680403.060000001</v>
      </c>
    </row>
    <row r="23">
      <c r="A23" s="2" t="inlineStr">
        <is>
          <t>08.245.6228.9071.0003</t>
        </is>
      </c>
      <c r="B23" s="6" t="inlineStr">
        <is>
          <t>158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214580</v>
      </c>
      <c r="H23" s="3" t="n">
        <v>269934</v>
      </c>
      <c r="I23" s="3" t="n">
        <v>214580</v>
      </c>
      <c r="J23" s="3" t="n">
        <v>0</v>
      </c>
      <c r="K23" s="7" t="n">
        <v>699094</v>
      </c>
      <c r="L23" s="7" t="n">
        <v>139818.8</v>
      </c>
      <c r="M23" s="7" t="n">
        <v>214580</v>
      </c>
    </row>
    <row r="24">
      <c r="A24" s="2" t="inlineStr">
        <is>
          <t>26.782.6216.4195.0001</t>
        </is>
      </c>
      <c r="B24" s="6" t="inlineStr">
        <is>
          <t>220</t>
        </is>
      </c>
      <c r="C24" s="3" t="n">
        <v>0</v>
      </c>
      <c r="D24" s="3" t="n">
        <v>999095.8100000001</v>
      </c>
      <c r="E24" s="3" t="n">
        <v>499854.72</v>
      </c>
      <c r="F24" s="3" t="n">
        <v>0</v>
      </c>
      <c r="G24" s="3" t="n">
        <v>204769.16</v>
      </c>
      <c r="H24" s="3" t="n">
        <v>137423.5</v>
      </c>
      <c r="I24" s="3" t="n">
        <v>0</v>
      </c>
      <c r="J24" s="3" t="n">
        <v>0</v>
      </c>
      <c r="K24" s="7" t="n">
        <v>1841143.19</v>
      </c>
      <c r="L24" s="7" t="n">
        <v>68438.53200000001</v>
      </c>
      <c r="M24" s="7" t="n">
        <v>0</v>
      </c>
    </row>
    <row r="25">
      <c r="A25" s="2" t="inlineStr">
        <is>
          <t>10.302.6202.4206.0002</t>
        </is>
      </c>
      <c r="B25" s="6" t="inlineStr">
        <is>
          <t>338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3000000</v>
      </c>
      <c r="H25" s="3" t="n">
        <v>0</v>
      </c>
      <c r="I25" s="3" t="n">
        <v>0</v>
      </c>
      <c r="J25" s="3" t="n">
        <v>0</v>
      </c>
      <c r="K25" s="7" t="n">
        <v>3000000</v>
      </c>
      <c r="L25" s="7" t="n">
        <v>600000</v>
      </c>
      <c r="M25" s="7" t="n">
        <v>0</v>
      </c>
    </row>
    <row r="26">
      <c r="A26" s="2" t="inlineStr">
        <is>
          <t>04.122.8203.2422.0006</t>
        </is>
      </c>
      <c r="B26" s="6" t="inlineStr">
        <is>
          <t>100</t>
        </is>
      </c>
      <c r="C26" s="3" t="n">
        <v>0</v>
      </c>
      <c r="D26" s="3" t="n">
        <v>1118498.7</v>
      </c>
      <c r="E26" s="3" t="n">
        <v>1052629.12</v>
      </c>
      <c r="F26" s="3" t="n">
        <v>1012312.32</v>
      </c>
      <c r="G26" s="3" t="n">
        <v>344110.21</v>
      </c>
      <c r="H26" s="3" t="n">
        <v>814906.3199999999</v>
      </c>
      <c r="I26" s="3" t="n">
        <v>789071.58</v>
      </c>
      <c r="J26" s="3" t="n">
        <v>790991.76</v>
      </c>
      <c r="K26" s="7" t="n">
        <v>5922520.01</v>
      </c>
      <c r="L26" s="7" t="n">
        <v>750278.438</v>
      </c>
      <c r="M26" s="7" t="n">
        <v>790991.76</v>
      </c>
    </row>
    <row r="27">
      <c r="A27" s="2" t="inlineStr">
        <is>
          <t>12.122.6221.4091.0096</t>
        </is>
      </c>
      <c r="B27" s="6" t="inlineStr">
        <is>
          <t>100</t>
        </is>
      </c>
      <c r="C27" s="3" t="n">
        <v>0</v>
      </c>
      <c r="D27" s="3" t="n">
        <v>2560</v>
      </c>
      <c r="E27" s="3" t="n">
        <v>0</v>
      </c>
      <c r="F27" s="3" t="n">
        <v>15758080</v>
      </c>
      <c r="G27" s="3" t="n">
        <v>11943800</v>
      </c>
      <c r="H27" s="3" t="n">
        <v>13759600</v>
      </c>
      <c r="I27" s="3" t="n">
        <v>13001520</v>
      </c>
      <c r="J27" s="3" t="n">
        <v>9154800</v>
      </c>
      <c r="K27" s="7" t="n">
        <v>63620360</v>
      </c>
      <c r="L27" s="7" t="n">
        <v>12723560</v>
      </c>
      <c r="M27" s="7" t="n">
        <v>13001520</v>
      </c>
    </row>
    <row r="28">
      <c r="A28" s="2" t="inlineStr">
        <is>
          <t>26.453.6216.2756.6137</t>
        </is>
      </c>
      <c r="B28" s="6" t="inlineStr">
        <is>
          <t>100</t>
        </is>
      </c>
      <c r="C28" s="3" t="n">
        <v>0</v>
      </c>
      <c r="D28" s="3" t="n">
        <v>13879093.21</v>
      </c>
      <c r="E28" s="3" t="n">
        <v>9090255.6</v>
      </c>
      <c r="F28" s="3" t="n">
        <v>3618965.84</v>
      </c>
      <c r="G28" s="3" t="n">
        <v>11919982.46</v>
      </c>
      <c r="H28" s="3" t="n">
        <v>2593079.92</v>
      </c>
      <c r="I28" s="3" t="n">
        <v>15454298.05</v>
      </c>
      <c r="J28" s="3" t="n">
        <v>10823575.78</v>
      </c>
      <c r="K28" s="7" t="n">
        <v>67379250.86</v>
      </c>
      <c r="L28" s="7" t="n">
        <v>8881980.41</v>
      </c>
      <c r="M28" s="7" t="n">
        <v>10823575.78</v>
      </c>
    </row>
    <row r="29">
      <c r="A29" s="2" t="inlineStr">
        <is>
          <t>08.245.6228.9071.0003</t>
        </is>
      </c>
      <c r="B29" s="6" t="inlineStr">
        <is>
          <t>100</t>
        </is>
      </c>
      <c r="C29" s="3" t="n">
        <v>3732040.72</v>
      </c>
      <c r="D29" s="3" t="n">
        <v>2999435.72</v>
      </c>
      <c r="E29" s="3" t="n">
        <v>2533100.86</v>
      </c>
      <c r="F29" s="3" t="n">
        <v>1429659.06</v>
      </c>
      <c r="G29" s="3" t="n">
        <v>67483.5</v>
      </c>
      <c r="H29" s="3" t="n">
        <v>0</v>
      </c>
      <c r="I29" s="3" t="n">
        <v>4164423.33</v>
      </c>
      <c r="J29" s="3" t="n">
        <v>2924452.14</v>
      </c>
      <c r="K29" s="7" t="n">
        <v>17850595.33</v>
      </c>
      <c r="L29" s="7" t="n">
        <v>1717203.606</v>
      </c>
      <c r="M29" s="7" t="n">
        <v>1429659.06</v>
      </c>
    </row>
    <row r="30">
      <c r="A30" s="2" t="inlineStr">
        <is>
          <t>15.452.6209.8508.0002</t>
        </is>
      </c>
      <c r="B30" s="6" t="inlineStr">
        <is>
          <t>101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7" t="n">
        <v>0</v>
      </c>
      <c r="L30" s="7" t="n">
        <v>0</v>
      </c>
      <c r="M30" s="7" t="n">
        <v>0</v>
      </c>
    </row>
    <row r="31">
      <c r="A31" s="2" t="inlineStr">
        <is>
          <t>08.244.6228.4272.0001</t>
        </is>
      </c>
      <c r="B31" s="6" t="inlineStr">
        <is>
          <t>100</t>
        </is>
      </c>
      <c r="C31" s="3" t="n">
        <v>41344999.55</v>
      </c>
      <c r="D31" s="3" t="n">
        <v>31730000</v>
      </c>
      <c r="E31" s="3" t="n">
        <v>24747660</v>
      </c>
      <c r="F31" s="3" t="n">
        <v>24758750</v>
      </c>
      <c r="G31" s="3" t="n">
        <v>24761250</v>
      </c>
      <c r="H31" s="3" t="n">
        <v>24700000</v>
      </c>
      <c r="I31" s="3" t="n">
        <v>24753750</v>
      </c>
      <c r="J31" s="3" t="n">
        <v>24750000</v>
      </c>
      <c r="K31" s="7" t="n">
        <v>221546409.55</v>
      </c>
      <c r="L31" s="7" t="n">
        <v>24744750</v>
      </c>
      <c r="M31" s="7" t="n">
        <v>24753750</v>
      </c>
    </row>
    <row r="32">
      <c r="A32" s="2" t="inlineStr">
        <is>
          <t>26.453.6216.4202.0002</t>
        </is>
      </c>
      <c r="B32" s="6" t="inlineStr">
        <is>
          <t>100</t>
        </is>
      </c>
      <c r="C32" s="3" t="n">
        <v>6384898.72</v>
      </c>
      <c r="D32" s="3" t="n">
        <v>16276971.49</v>
      </c>
      <c r="E32" s="3" t="n">
        <v>24433382.06</v>
      </c>
      <c r="F32" s="3" t="n">
        <v>8777292.34</v>
      </c>
      <c r="G32" s="3" t="n">
        <v>9351852.369999999</v>
      </c>
      <c r="H32" s="3" t="n">
        <v>18917704.64</v>
      </c>
      <c r="I32" s="3" t="n">
        <v>23620728.2</v>
      </c>
      <c r="J32" s="3" t="n">
        <v>21172671.83</v>
      </c>
      <c r="K32" s="7" t="n">
        <v>128935501.65</v>
      </c>
      <c r="L32" s="7" t="n">
        <v>16368049.876</v>
      </c>
      <c r="M32" s="7" t="n">
        <v>18917704.64</v>
      </c>
    </row>
    <row r="33">
      <c r="A33" s="2" t="inlineStr">
        <is>
          <t>04.122.8203.2990.0006</t>
        </is>
      </c>
      <c r="B33" s="6" t="inlineStr">
        <is>
          <t>100</t>
        </is>
      </c>
      <c r="C33" s="3" t="n">
        <v>68784901.53</v>
      </c>
      <c r="D33" s="3" t="n">
        <v>11600784.63</v>
      </c>
      <c r="E33" s="3" t="n">
        <v>25665694.35</v>
      </c>
      <c r="F33" s="3" t="n">
        <v>43736479.99</v>
      </c>
      <c r="G33" s="3" t="n">
        <v>38809381.49</v>
      </c>
      <c r="H33" s="3" t="n">
        <v>48146057.84</v>
      </c>
      <c r="I33" s="3" t="n">
        <v>23726915.62</v>
      </c>
      <c r="J33" s="3" t="n">
        <v>47287223.39</v>
      </c>
      <c r="K33" s="7" t="n">
        <v>307757438.84</v>
      </c>
      <c r="L33" s="7" t="n">
        <v>40341211.666</v>
      </c>
      <c r="M33" s="7" t="n">
        <v>43736479.99</v>
      </c>
    </row>
    <row r="34">
      <c r="A34" s="2" t="inlineStr">
        <is>
          <t>26.453.6216.2756.6137</t>
        </is>
      </c>
      <c r="B34" s="6" t="inlineStr">
        <is>
          <t>220</t>
        </is>
      </c>
      <c r="C34" s="3" t="n">
        <v>0</v>
      </c>
      <c r="D34" s="3" t="n">
        <v>9166952.470000001</v>
      </c>
      <c r="E34" s="3" t="n">
        <v>4057512.17</v>
      </c>
      <c r="F34" s="3" t="n">
        <v>3535842.1</v>
      </c>
      <c r="G34" s="3" t="n">
        <v>1805191.13</v>
      </c>
      <c r="H34" s="3" t="n">
        <v>1528240.81</v>
      </c>
      <c r="I34" s="3" t="n">
        <v>1095987.72</v>
      </c>
      <c r="J34" s="3" t="n">
        <v>0</v>
      </c>
      <c r="K34" s="7" t="n">
        <v>21189726.4</v>
      </c>
      <c r="L34" s="7" t="n">
        <v>1593052.352</v>
      </c>
      <c r="M34" s="7" t="n">
        <v>1528240.81</v>
      </c>
    </row>
    <row r="35">
      <c r="A35" s="2" t="inlineStr">
        <is>
          <t>10.302.6202.4206.0001</t>
        </is>
      </c>
      <c r="B35" s="6" t="inlineStr">
        <is>
          <t>138</t>
        </is>
      </c>
      <c r="C35" s="3" t="n">
        <v>0</v>
      </c>
      <c r="D35" s="3" t="n">
        <v>40653870</v>
      </c>
      <c r="E35" s="3" t="n">
        <v>3332774</v>
      </c>
      <c r="F35" s="3" t="n">
        <v>0</v>
      </c>
      <c r="G35" s="3" t="n">
        <v>0</v>
      </c>
      <c r="H35" s="3" t="n">
        <v>0</v>
      </c>
      <c r="I35" s="3" t="n">
        <v>8316203</v>
      </c>
      <c r="J35" s="3" t="n">
        <v>0</v>
      </c>
      <c r="K35" s="7" t="n">
        <v>52302847</v>
      </c>
      <c r="L35" s="7" t="n">
        <v>1663240.6</v>
      </c>
      <c r="M35" s="7" t="n">
        <v>0</v>
      </c>
    </row>
    <row r="36">
      <c r="A36" s="2" t="inlineStr">
        <is>
          <t>26.453.6216.2756.6137</t>
        </is>
      </c>
      <c r="B36" s="6" t="inlineStr">
        <is>
          <t>183</t>
        </is>
      </c>
      <c r="C36" s="3" t="n">
        <v>0</v>
      </c>
      <c r="D36" s="3" t="n">
        <v>2923844.18</v>
      </c>
      <c r="E36" s="3" t="n">
        <v>793416.24</v>
      </c>
      <c r="F36" s="3" t="n">
        <v>2126874.18</v>
      </c>
      <c r="G36" s="3" t="n">
        <v>25114.16</v>
      </c>
      <c r="H36" s="3" t="n">
        <v>0</v>
      </c>
      <c r="I36" s="3" t="n">
        <v>3707967.45</v>
      </c>
      <c r="J36" s="3" t="n">
        <v>0</v>
      </c>
      <c r="K36" s="7" t="n">
        <v>9577216.210000001</v>
      </c>
      <c r="L36" s="7" t="n">
        <v>1171991.158</v>
      </c>
      <c r="M36" s="7" t="n">
        <v>25114.16</v>
      </c>
    </row>
    <row r="37">
      <c r="A37" s="2" t="inlineStr">
        <is>
          <t>26.782.6216.2885.0001</t>
        </is>
      </c>
      <c r="B37" s="6" t="inlineStr">
        <is>
          <t>100</t>
        </is>
      </c>
      <c r="C37" s="3" t="n">
        <v>0</v>
      </c>
      <c r="D37" s="3" t="n">
        <v>5280</v>
      </c>
      <c r="E37" s="3" t="n">
        <v>41026.02</v>
      </c>
      <c r="F37" s="3" t="n">
        <v>143238.2</v>
      </c>
      <c r="G37" s="3" t="n">
        <v>101518.8</v>
      </c>
      <c r="H37" s="3" t="n">
        <v>73169.60000000001</v>
      </c>
      <c r="I37" s="3" t="n">
        <v>261043.92</v>
      </c>
      <c r="J37" s="3" t="n">
        <v>60991.49</v>
      </c>
      <c r="K37" s="7" t="n">
        <v>686268.03</v>
      </c>
      <c r="L37" s="7" t="n">
        <v>127992.402</v>
      </c>
      <c r="M37" s="7" t="n">
        <v>101518.8</v>
      </c>
    </row>
    <row r="38">
      <c r="A38" s="2" t="inlineStr">
        <is>
          <t>15.452.6209.2079.6118</t>
        </is>
      </c>
      <c r="B38" s="6" t="inlineStr">
        <is>
          <t>114</t>
        </is>
      </c>
      <c r="C38" s="3" t="n">
        <v>17981342.51</v>
      </c>
      <c r="D38" s="3" t="n">
        <v>8500000</v>
      </c>
      <c r="E38" s="3" t="n">
        <v>0</v>
      </c>
      <c r="F38" s="3" t="n">
        <v>3275026.25</v>
      </c>
      <c r="G38" s="3" t="n">
        <v>5507828.49</v>
      </c>
      <c r="H38" s="3" t="n">
        <v>586806.8199999999</v>
      </c>
      <c r="I38" s="3" t="n">
        <v>1544122.19</v>
      </c>
      <c r="J38" s="3" t="n">
        <v>63230721.94</v>
      </c>
      <c r="K38" s="7" t="n">
        <v>100625848.2</v>
      </c>
      <c r="L38" s="7" t="n">
        <v>14828901.138</v>
      </c>
      <c r="M38" s="7" t="n">
        <v>3275026.25</v>
      </c>
    </row>
    <row r="39">
      <c r="A39" s="2" t="inlineStr">
        <is>
          <t>04.122.0001.9126.0001</t>
        </is>
      </c>
      <c r="B39" s="6" t="inlineStr">
        <is>
          <t>100</t>
        </is>
      </c>
      <c r="C39" s="3" t="n">
        <v>4269973.32</v>
      </c>
      <c r="D39" s="3" t="n">
        <v>17968890.89</v>
      </c>
      <c r="E39" s="3" t="n">
        <v>10716734.73</v>
      </c>
      <c r="F39" s="3" t="n">
        <v>1825741.73</v>
      </c>
      <c r="G39" s="3" t="n">
        <v>31985390.72</v>
      </c>
      <c r="H39" s="3" t="n">
        <v>0</v>
      </c>
      <c r="I39" s="3" t="n">
        <v>0</v>
      </c>
      <c r="J39" s="3" t="n">
        <v>0</v>
      </c>
      <c r="K39" s="7" t="n">
        <v>66766731.39</v>
      </c>
      <c r="L39" s="7" t="n">
        <v>6762226.489999999</v>
      </c>
      <c r="M39" s="7" t="n">
        <v>0</v>
      </c>
    </row>
    <row r="40">
      <c r="A40" s="2" t="inlineStr">
        <is>
          <t>10.302.6202.4206.0002</t>
        </is>
      </c>
      <c r="B40" s="6" t="inlineStr">
        <is>
          <t>739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7" t="n">
        <v>0</v>
      </c>
      <c r="L40" s="7" t="n">
        <v>0</v>
      </c>
      <c r="M40" s="7" t="n">
        <v>0</v>
      </c>
    </row>
    <row r="41">
      <c r="A41" s="2" t="inlineStr">
        <is>
          <t>26.782.6216.2885.0001</t>
        </is>
      </c>
      <c r="B41" s="6" t="inlineStr">
        <is>
          <t>437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221322.31</v>
      </c>
      <c r="I41" s="3" t="n">
        <v>109035</v>
      </c>
      <c r="J41" s="3" t="n">
        <v>69642.69</v>
      </c>
      <c r="K41" s="7" t="n">
        <v>400000</v>
      </c>
      <c r="L41" s="7" t="n">
        <v>80000</v>
      </c>
      <c r="M41" s="7" t="n">
        <v>69642.69</v>
      </c>
    </row>
    <row r="42">
      <c r="A42" s="2" t="inlineStr">
        <is>
          <t>26.782.6216.4195.0001</t>
        </is>
      </c>
      <c r="B42" s="6" t="inlineStr">
        <is>
          <t>237</t>
        </is>
      </c>
      <c r="C42" s="3" t="n">
        <v>0</v>
      </c>
      <c r="D42" s="3" t="n">
        <v>0</v>
      </c>
      <c r="E42" s="3" t="n">
        <v>1978993.77</v>
      </c>
      <c r="F42" s="3" t="n">
        <v>3006761.09</v>
      </c>
      <c r="G42" s="3" t="n">
        <v>176241.64</v>
      </c>
      <c r="H42" s="3" t="n">
        <v>377724.5</v>
      </c>
      <c r="I42" s="3" t="n">
        <v>0</v>
      </c>
      <c r="J42" s="3" t="n">
        <v>0</v>
      </c>
      <c r="K42" s="7" t="n">
        <v>5539721</v>
      </c>
      <c r="L42" s="7" t="n">
        <v>712145.446</v>
      </c>
      <c r="M42" s="7" t="n">
        <v>176241.64</v>
      </c>
    </row>
    <row r="43">
      <c r="A43" s="2" t="inlineStr">
        <is>
          <t>04.122.0001.9126.0001</t>
        </is>
      </c>
      <c r="B43" s="6" t="inlineStr">
        <is>
          <t>101</t>
        </is>
      </c>
      <c r="C43" s="3" t="n">
        <v>12714824</v>
      </c>
      <c r="D43" s="3" t="n">
        <v>0</v>
      </c>
      <c r="E43" s="3" t="n">
        <v>838517.6</v>
      </c>
      <c r="F43" s="3" t="n">
        <v>10169132.42</v>
      </c>
      <c r="G43" s="3" t="n">
        <v>0</v>
      </c>
      <c r="H43" s="3" t="n">
        <v>0</v>
      </c>
      <c r="I43" s="3" t="n">
        <v>12082940.85</v>
      </c>
      <c r="J43" s="3" t="n">
        <v>12448842.43</v>
      </c>
      <c r="K43" s="7" t="n">
        <v>48254257.3</v>
      </c>
      <c r="L43" s="7" t="n">
        <v>6940183.140000001</v>
      </c>
      <c r="M43" s="7" t="n">
        <v>10169132.42</v>
      </c>
    </row>
    <row r="44">
      <c r="A44" s="2" t="inlineStr">
        <is>
          <t>15.452.6209.2079.6118</t>
        </is>
      </c>
      <c r="B44" s="6" t="inlineStr">
        <is>
          <t>220</t>
        </is>
      </c>
      <c r="C44" s="3" t="n">
        <v>0</v>
      </c>
      <c r="D44" s="3" t="n">
        <v>0</v>
      </c>
      <c r="E44" s="3" t="n">
        <v>8095.49</v>
      </c>
      <c r="F44" s="3" t="n">
        <v>241828.61</v>
      </c>
      <c r="G44" s="3" t="n">
        <v>0</v>
      </c>
      <c r="H44" s="3" t="n">
        <v>0</v>
      </c>
      <c r="I44" s="3" t="n">
        <v>0</v>
      </c>
      <c r="J44" s="3" t="n">
        <v>168600</v>
      </c>
      <c r="K44" s="7" t="n">
        <v>418524.1</v>
      </c>
      <c r="L44" s="7" t="n">
        <v>82085.72199999999</v>
      </c>
      <c r="M44" s="7" t="n">
        <v>0</v>
      </c>
    </row>
    <row r="45">
      <c r="A45" s="2" t="inlineStr">
        <is>
          <t>04.122.8203.2990.0006</t>
        </is>
      </c>
      <c r="B45" s="6" t="inlineStr">
        <is>
          <t>101</t>
        </is>
      </c>
      <c r="C45" s="3" t="n">
        <v>0</v>
      </c>
      <c r="D45" s="3" t="n">
        <v>9015615.32</v>
      </c>
      <c r="E45" s="3" t="n">
        <v>1927165.87</v>
      </c>
      <c r="F45" s="3" t="n">
        <v>968512.09</v>
      </c>
      <c r="G45" s="3" t="n">
        <v>6333899.12</v>
      </c>
      <c r="H45" s="3" t="n">
        <v>185213.89</v>
      </c>
      <c r="I45" s="3" t="n">
        <v>24132535.01</v>
      </c>
      <c r="J45" s="3" t="n">
        <v>1291829.02</v>
      </c>
      <c r="K45" s="7" t="n">
        <v>43854770.32</v>
      </c>
      <c r="L45" s="7" t="n">
        <v>6582397.826</v>
      </c>
      <c r="M45" s="7" t="n">
        <v>1291829.02</v>
      </c>
    </row>
    <row r="46">
      <c r="A46" s="2" t="inlineStr">
        <is>
          <t>12.453.6221.4202.0010</t>
        </is>
      </c>
      <c r="B46" s="6" t="inlineStr">
        <is>
          <t>100</t>
        </is>
      </c>
      <c r="C46" s="3" t="n">
        <v>52463657</v>
      </c>
      <c r="D46" s="3" t="n">
        <v>0</v>
      </c>
      <c r="E46" s="3" t="n">
        <v>29957098.55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7" t="n">
        <v>82420755.55</v>
      </c>
      <c r="L46" s="7" t="n">
        <v>0</v>
      </c>
      <c r="M46" s="7" t="n">
        <v>0</v>
      </c>
    </row>
    <row r="47">
      <c r="A47" s="2" t="inlineStr">
        <is>
          <t>04.122.8203.2990.0008</t>
        </is>
      </c>
      <c r="B47" s="6" t="inlineStr">
        <is>
          <t>100</t>
        </is>
      </c>
      <c r="C47" s="3" t="n">
        <v>0</v>
      </c>
      <c r="D47" s="3" t="n">
        <v>7312008.55</v>
      </c>
      <c r="E47" s="3" t="n">
        <v>7640854.19</v>
      </c>
      <c r="F47" s="3" t="n">
        <v>722988.72</v>
      </c>
      <c r="G47" s="3" t="n">
        <v>905545.1899999999</v>
      </c>
      <c r="H47" s="3" t="n">
        <v>8611556.23</v>
      </c>
      <c r="I47" s="3" t="n">
        <v>12861499.22</v>
      </c>
      <c r="J47" s="3" t="n">
        <v>64162.28</v>
      </c>
      <c r="K47" s="7" t="n">
        <v>38118614.38</v>
      </c>
      <c r="L47" s="7" t="n">
        <v>4633150.328</v>
      </c>
      <c r="M47" s="7" t="n">
        <v>905545.1899999999</v>
      </c>
    </row>
    <row r="48">
      <c r="A48" s="2" t="inlineStr">
        <is>
          <t>04.122.8203.2990.0008</t>
        </is>
      </c>
      <c r="B48" s="6" t="inlineStr">
        <is>
          <t>101</t>
        </is>
      </c>
      <c r="C48" s="3" t="n">
        <v>0</v>
      </c>
      <c r="D48" s="3" t="n">
        <v>4724830.7</v>
      </c>
      <c r="E48" s="3" t="n">
        <v>4293185.21</v>
      </c>
      <c r="F48" s="3" t="n">
        <v>3367395.11</v>
      </c>
      <c r="G48" s="3" t="n">
        <v>18493458.19</v>
      </c>
      <c r="H48" s="3" t="n">
        <v>646979.9</v>
      </c>
      <c r="I48" s="3" t="n">
        <v>197212.03</v>
      </c>
      <c r="J48" s="3" t="n">
        <v>2757318.45</v>
      </c>
      <c r="K48" s="7" t="n">
        <v>34480379.59</v>
      </c>
      <c r="L48" s="7" t="n">
        <v>5092472.736</v>
      </c>
      <c r="M48" s="7" t="n">
        <v>2757318.45</v>
      </c>
    </row>
    <row r="49">
      <c r="A49" s="2" t="inlineStr">
        <is>
          <t>10.302.6202.4206.0001</t>
        </is>
      </c>
      <c r="B49" s="6" t="inlineStr">
        <is>
          <t>338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30000000</v>
      </c>
      <c r="H49" s="3" t="n">
        <v>0</v>
      </c>
      <c r="I49" s="3" t="n">
        <v>0</v>
      </c>
      <c r="J49" s="3" t="n">
        <v>0</v>
      </c>
      <c r="K49" s="7" t="n">
        <v>30000000</v>
      </c>
      <c r="L49" s="7" t="n">
        <v>6000000</v>
      </c>
      <c r="M49" s="7" t="n">
        <v>0</v>
      </c>
    </row>
    <row r="50">
      <c r="A50" s="2" t="inlineStr">
        <is>
          <t>26.782.6216.4195.0001</t>
        </is>
      </c>
      <c r="B50" s="6" t="inlineStr">
        <is>
          <t>448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655814</v>
      </c>
      <c r="K50" s="7" t="n">
        <v>655814</v>
      </c>
      <c r="L50" s="7" t="n">
        <v>131162.8</v>
      </c>
      <c r="M50" s="7" t="n">
        <v>0</v>
      </c>
    </row>
    <row r="51">
      <c r="A51" s="2" t="inlineStr">
        <is>
          <t>10.302.6202.4206.0001</t>
        </is>
      </c>
      <c r="B51" s="6" t="inlineStr">
        <is>
          <t>740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7" t="n">
        <v>0</v>
      </c>
      <c r="L51" s="7" t="n">
        <v>0</v>
      </c>
      <c r="M51" s="7" t="n">
        <v>0</v>
      </c>
    </row>
    <row r="52">
      <c r="A52" s="2" t="inlineStr">
        <is>
          <t>04.122.8203.2984.0001</t>
        </is>
      </c>
      <c r="B52" s="6" t="inlineStr">
        <is>
          <t>183</t>
        </is>
      </c>
      <c r="C52" s="3" t="n">
        <v>0</v>
      </c>
      <c r="D52" s="3" t="n">
        <v>2500279.04</v>
      </c>
      <c r="E52" s="3" t="n">
        <v>9579730</v>
      </c>
      <c r="F52" s="3" t="n">
        <v>5612943.61</v>
      </c>
      <c r="G52" s="3" t="n">
        <v>7240477.68</v>
      </c>
      <c r="H52" s="3" t="n">
        <v>1009690.96</v>
      </c>
      <c r="I52" s="3" t="n">
        <v>14281076.55</v>
      </c>
      <c r="J52" s="3" t="n">
        <v>11145.47</v>
      </c>
      <c r="K52" s="7" t="n">
        <v>40235343.31</v>
      </c>
      <c r="L52" s="7" t="n">
        <v>5631066.854</v>
      </c>
      <c r="M52" s="7" t="n">
        <v>5612943.61</v>
      </c>
    </row>
    <row r="53">
      <c r="A53" s="2" t="inlineStr">
        <is>
          <t>04.122.8203.2990.0006</t>
        </is>
      </c>
      <c r="B53" s="6" t="inlineStr">
        <is>
          <t>161</t>
        </is>
      </c>
      <c r="C53" s="3" t="n">
        <v>0</v>
      </c>
      <c r="D53" s="3" t="n">
        <v>22043700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7" t="n">
        <v>22043700</v>
      </c>
      <c r="L53" s="7" t="n">
        <v>0</v>
      </c>
      <c r="M53" s="7" t="n">
        <v>0</v>
      </c>
    </row>
    <row r="54">
      <c r="A54" s="2" t="inlineStr">
        <is>
          <t>15.452.6209.2079.6118</t>
        </is>
      </c>
      <c r="B54" s="6" t="inlineStr">
        <is>
          <t>102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7" t="n">
        <v>0</v>
      </c>
      <c r="L54" s="7" t="n">
        <v>0</v>
      </c>
      <c r="M54" s="7" t="n">
        <v>0</v>
      </c>
    </row>
    <row r="55">
      <c r="A55" s="2" t="inlineStr">
        <is>
          <t>08.245.6228.9073.0003</t>
        </is>
      </c>
      <c r="B55" s="6" t="inlineStr">
        <is>
          <t>100</t>
        </is>
      </c>
      <c r="C55" s="3" t="n">
        <v>9014755.199999999</v>
      </c>
      <c r="D55" s="3" t="n">
        <v>3534147.08</v>
      </c>
      <c r="E55" s="3" t="n">
        <v>23750728.65</v>
      </c>
      <c r="F55" s="3" t="n">
        <v>1130516.36</v>
      </c>
      <c r="G55" s="3" t="n">
        <v>8053822.08</v>
      </c>
      <c r="H55" s="3" t="n">
        <v>0</v>
      </c>
      <c r="I55" s="3" t="n">
        <v>16424446.99</v>
      </c>
      <c r="J55" s="3" t="n">
        <v>19815103.16</v>
      </c>
      <c r="K55" s="7" t="n">
        <v>81723519.52</v>
      </c>
      <c r="L55" s="7" t="n">
        <v>9084777.718</v>
      </c>
      <c r="M55" s="7" t="n">
        <v>8053822.08</v>
      </c>
    </row>
    <row r="56">
      <c r="A56" s="2" t="inlineStr">
        <is>
          <t>26.782.6216.2885.0001</t>
        </is>
      </c>
      <c r="B56" s="6" t="inlineStr">
        <is>
          <t>183</t>
        </is>
      </c>
      <c r="C56" s="3" t="n">
        <v>168</v>
      </c>
      <c r="D56" s="3" t="n">
        <v>0</v>
      </c>
      <c r="E56" s="3" t="n">
        <v>0</v>
      </c>
      <c r="F56" s="3" t="n">
        <v>0</v>
      </c>
      <c r="G56" s="3" t="n">
        <v>41967.48</v>
      </c>
      <c r="H56" s="3" t="n">
        <v>48539.52</v>
      </c>
      <c r="I56" s="3" t="n">
        <v>204</v>
      </c>
      <c r="J56" s="3" t="n">
        <v>3782</v>
      </c>
      <c r="K56" s="7" t="n">
        <v>94661</v>
      </c>
      <c r="L56" s="7" t="n">
        <v>18898.6</v>
      </c>
      <c r="M56" s="7" t="n">
        <v>3782</v>
      </c>
    </row>
    <row r="57">
      <c r="A57" s="2" t="inlineStr">
        <is>
          <t>08.245.6228.9073.0003</t>
        </is>
      </c>
      <c r="B57" s="6" t="inlineStr">
        <is>
          <t>158</t>
        </is>
      </c>
      <c r="C57" s="3" t="n">
        <v>0</v>
      </c>
      <c r="D57" s="3" t="n">
        <v>0</v>
      </c>
      <c r="E57" s="3" t="n">
        <v>412266.61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7" t="n">
        <v>412266.61</v>
      </c>
      <c r="L57" s="7" t="n">
        <v>0</v>
      </c>
      <c r="M57" s="7" t="n">
        <v>0</v>
      </c>
    </row>
    <row r="58">
      <c r="A58" s="2" t="inlineStr">
        <is>
          <t>08.244.6228.4272.0001</t>
        </is>
      </c>
      <c r="B58" s="6" t="inlineStr">
        <is>
          <t>183</t>
        </is>
      </c>
      <c r="C58" s="3" t="n">
        <v>0</v>
      </c>
      <c r="D58" s="3" t="n">
        <v>0</v>
      </c>
      <c r="E58" s="3" t="n">
        <v>6090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7" t="n">
        <v>6090</v>
      </c>
      <c r="L58" s="7" t="n">
        <v>0</v>
      </c>
      <c r="M58" s="7" t="n">
        <v>0</v>
      </c>
    </row>
    <row r="59">
      <c r="A59" s="2" t="inlineStr">
        <is>
          <t>26.453.6216.2455.0001</t>
        </is>
      </c>
      <c r="B59" s="6" t="inlineStr">
        <is>
          <t>100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978221.16</v>
      </c>
      <c r="J59" s="3" t="n">
        <v>1120119.82</v>
      </c>
      <c r="K59" s="7" t="n">
        <v>2098340.98</v>
      </c>
      <c r="L59" s="7" t="n">
        <v>419668.196</v>
      </c>
      <c r="M59" s="7" t="n">
        <v>0</v>
      </c>
    </row>
    <row r="60">
      <c r="A60" s="2" t="inlineStr">
        <is>
          <t>12.122.6221.4091.0096</t>
        </is>
      </c>
      <c r="B60" s="6" t="inlineStr">
        <is>
          <t>377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7" t="n">
        <v>0</v>
      </c>
      <c r="L60" s="7" t="n">
        <v>0</v>
      </c>
      <c r="M60" s="7" t="n">
        <v>0</v>
      </c>
    </row>
    <row r="61">
      <c r="A61" s="2" t="inlineStr">
        <is>
          <t>15.452.6209.2079.6118</t>
        </is>
      </c>
      <c r="B61" s="6" t="inlineStr">
        <is>
          <t>101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7" t="n">
        <v>0</v>
      </c>
      <c r="L61" s="7" t="n">
        <v>0</v>
      </c>
      <c r="M61" s="7" t="n">
        <v>0</v>
      </c>
    </row>
    <row r="62">
      <c r="A62" s="2" t="inlineStr">
        <is>
          <t>10.302.6202.4206.0001</t>
        </is>
      </c>
      <c r="B62" s="6" t="inlineStr">
        <is>
          <t>101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104756073</v>
      </c>
      <c r="K62" s="7" t="n">
        <v>104756073</v>
      </c>
      <c r="L62" s="7" t="n">
        <v>20951214.6</v>
      </c>
      <c r="M62" s="7" t="n">
        <v>0</v>
      </c>
    </row>
    <row r="63">
      <c r="A63" s="2" t="inlineStr">
        <is>
          <t>26.782.6216.4195.0001</t>
        </is>
      </c>
      <c r="B63" s="6" t="inlineStr">
        <is>
          <t>437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550000</v>
      </c>
      <c r="H63" s="3" t="n">
        <v>0</v>
      </c>
      <c r="I63" s="3" t="n">
        <v>0</v>
      </c>
      <c r="J63" s="3" t="n">
        <v>0</v>
      </c>
      <c r="K63" s="7" t="n">
        <v>550000</v>
      </c>
      <c r="L63" s="7" t="n">
        <v>110000</v>
      </c>
      <c r="M63" s="7" t="n">
        <v>0</v>
      </c>
    </row>
    <row r="64">
      <c r="A64" s="2" t="inlineStr">
        <is>
          <t>06.422.6217.2540.0002</t>
        </is>
      </c>
      <c r="B64" s="6" t="inlineStr">
        <is>
          <t>183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1032775</v>
      </c>
      <c r="K64" s="7" t="n">
        <v>1032775</v>
      </c>
      <c r="L64" s="7" t="n">
        <v>206555</v>
      </c>
      <c r="M64" s="7" t="n">
        <v>0</v>
      </c>
    </row>
    <row r="65">
      <c r="A65" s="2" t="inlineStr">
        <is>
          <t>10.302.6202.4206.0002</t>
        </is>
      </c>
      <c r="B65" s="6" t="inlineStr">
        <is>
          <t>740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7" t="n">
        <v>0</v>
      </c>
      <c r="L65" s="7" t="n">
        <v>0</v>
      </c>
      <c r="M65" s="7" t="n">
        <v>0</v>
      </c>
    </row>
    <row r="66">
      <c r="A66" s="2" t="inlineStr">
        <is>
          <t>26.453.6216.2455.0002</t>
        </is>
      </c>
      <c r="B66" s="6" t="inlineStr">
        <is>
          <t>101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104537179.12</v>
      </c>
      <c r="K66" s="7" t="n">
        <v>104537179.12</v>
      </c>
      <c r="L66" s="7" t="n">
        <v>20907435.824</v>
      </c>
      <c r="M66" s="7" t="n">
        <v>0</v>
      </c>
    </row>
    <row r="67">
      <c r="A67" s="2" t="inlineStr">
        <is>
          <t>17.512.6209.2903.0001</t>
        </is>
      </c>
      <c r="B67" s="6" t="inlineStr">
        <is>
          <t>101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7" t="n">
        <v>0</v>
      </c>
      <c r="L67" s="7" t="n">
        <v>0</v>
      </c>
      <c r="M67" s="7" t="n">
        <v>0</v>
      </c>
    </row>
    <row r="68">
      <c r="A68" s="2" t="inlineStr">
        <is>
          <t>10.302.6202.4206.0001</t>
        </is>
      </c>
      <c r="B68" s="6" t="inlineStr">
        <is>
          <t>838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7" t="n">
        <v>0</v>
      </c>
      <c r="L68" s="7" t="n">
        <v>0</v>
      </c>
      <c r="M68" s="7" t="n">
        <v>0</v>
      </c>
    </row>
    <row r="69">
      <c r="A69" s="2" t="inlineStr">
        <is>
          <t>10.302.6202.4206.0002</t>
        </is>
      </c>
      <c r="B69" s="6" t="inlineStr">
        <is>
          <t>335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7" t="n">
        <v>0</v>
      </c>
      <c r="L69" s="7" t="n">
        <v>0</v>
      </c>
      <c r="M69" s="7" t="n">
        <v>0</v>
      </c>
    </row>
    <row r="70">
      <c r="A70" s="8" t="inlineStr">
        <is>
          <t>Obs.: "acumulado" = soma jan–ago; "média 5 meses" = média de (abr,mai,jun,jul,ago); "mediana 5 meses" = mediana de (abr,mai,jun,jul,ago). Comparativo 2 usa a média e Comparativo 3 usa a mediana; projeção nas abas de PT = acumulado + (média ou mediana) × meses restantes (set–dez = 4).</t>
        </is>
      </c>
    </row>
  </sheetData>
  <mergeCells count="1">
    <mergeCell ref="A70:M7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9" t="inlineStr">
        <is>
          <t>26.782.6216.4195.0001 — DER — Conservação de Rodovias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FONTE 220</t>
        </is>
      </c>
      <c r="F4" s="12" t="inlineStr">
        <is>
          <t>FONTE 237</t>
        </is>
      </c>
      <c r="G4" s="12" t="inlineStr">
        <is>
          <t>FONTE 437</t>
        </is>
      </c>
      <c r="H4" s="12" t="inlineStr">
        <is>
          <t>FONTE 448</t>
        </is>
      </c>
      <c r="I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</row>
    <row r="6">
      <c r="A6" s="2" t="inlineStr">
        <is>
          <t>Dotação inicial (LEI) 2025</t>
        </is>
      </c>
      <c r="B6" s="3" t="n">
        <v>751944</v>
      </c>
      <c r="C6" s="3" t="n">
        <v>7000000</v>
      </c>
      <c r="D6" s="3" t="n">
        <v>0</v>
      </c>
      <c r="E6" s="3" t="n">
        <v>0</v>
      </c>
      <c r="F6" s="3" t="n">
        <v>800000</v>
      </c>
      <c r="G6" s="3" t="n">
        <v>0</v>
      </c>
      <c r="H6" s="3" t="n">
        <v>0</v>
      </c>
      <c r="I6" s="15" t="n">
        <v>8551944</v>
      </c>
    </row>
    <row r="7">
      <c r="A7" s="2" t="inlineStr">
        <is>
          <t>Alterações 2025</t>
        </is>
      </c>
      <c r="B7" s="3" t="n">
        <v>87534524</v>
      </c>
      <c r="C7" s="3" t="n">
        <v>33984800</v>
      </c>
      <c r="D7" s="3" t="n">
        <v>125746</v>
      </c>
      <c r="E7" s="3" t="n">
        <v>0</v>
      </c>
      <c r="F7" s="3" t="n">
        <v>10644000</v>
      </c>
      <c r="G7" s="3" t="n">
        <v>0</v>
      </c>
      <c r="H7" s="3" t="n">
        <v>0</v>
      </c>
      <c r="I7" s="15" t="n">
        <v>132289070</v>
      </c>
    </row>
    <row r="8">
      <c r="A8" s="2" t="inlineStr">
        <is>
          <t>Despesa autorizada 2025 (DESP AUT.)</t>
        </is>
      </c>
      <c r="B8" s="3" t="n">
        <v>88286466.05</v>
      </c>
      <c r="C8" s="3" t="n">
        <v>40984800</v>
      </c>
      <c r="D8" s="3" t="n">
        <v>125746</v>
      </c>
      <c r="E8" s="3" t="n">
        <v>0</v>
      </c>
      <c r="F8" s="3" t="n">
        <v>11444000</v>
      </c>
      <c r="G8" s="3" t="n">
        <v>0</v>
      </c>
      <c r="H8" s="3" t="n">
        <v>0</v>
      </c>
      <c r="I8" s="15" t="n">
        <v>140841012.05</v>
      </c>
    </row>
    <row r="9">
      <c r="A9" s="16" t="inlineStr">
        <is>
          <t>Empenhado 2025</t>
        </is>
      </c>
      <c r="B9" s="7" t="n">
        <v>88005332.22</v>
      </c>
      <c r="C9" s="7" t="n">
        <v>40979568.66</v>
      </c>
      <c r="D9" s="7" t="n">
        <v>125745.83</v>
      </c>
      <c r="E9" s="7" t="n">
        <v>0</v>
      </c>
      <c r="F9" s="7" t="n">
        <v>11214373.02</v>
      </c>
      <c r="G9" s="7" t="n">
        <v>0</v>
      </c>
      <c r="H9" s="7" t="n">
        <v>0</v>
      </c>
      <c r="I9" s="15" t="n">
        <v>140325019.73</v>
      </c>
    </row>
    <row r="10">
      <c r="A10" s="2" t="inlineStr">
        <is>
          <t>Liquidado 2025</t>
        </is>
      </c>
      <c r="B10" s="3" t="n">
        <v>87743567.28999999</v>
      </c>
      <c r="C10" s="3" t="n">
        <v>40478244.97</v>
      </c>
      <c r="D10" s="3" t="n">
        <v>125745.83</v>
      </c>
      <c r="E10" s="3" t="n">
        <v>0</v>
      </c>
      <c r="F10" s="3" t="n">
        <v>10734136.01</v>
      </c>
      <c r="G10" s="3" t="n">
        <v>0</v>
      </c>
      <c r="H10" s="3" t="n">
        <v>0</v>
      </c>
      <c r="I10" s="15" t="n">
        <v>139081694.1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2" t="inlineStr">
        <is>
          <t>Dotação inicial (LEI) 2026</t>
        </is>
      </c>
      <c r="B12" s="3" t="n">
        <v>61500000</v>
      </c>
      <c r="C12" s="3" t="n">
        <v>0</v>
      </c>
      <c r="D12" s="3" t="n">
        <v>16506907</v>
      </c>
      <c r="E12" s="3" t="n">
        <v>2643843</v>
      </c>
      <c r="F12" s="3" t="n">
        <v>0</v>
      </c>
      <c r="G12" s="3" t="n">
        <v>0</v>
      </c>
      <c r="H12" s="3" t="n">
        <v>0</v>
      </c>
      <c r="I12" s="15" t="n">
        <v>80650750</v>
      </c>
    </row>
    <row r="13">
      <c r="A13" s="2" t="inlineStr">
        <is>
          <t>Alterações 2026</t>
        </is>
      </c>
      <c r="B13" s="3" t="n">
        <v>6874824</v>
      </c>
      <c r="C13" s="3" t="n">
        <v>0</v>
      </c>
      <c r="D13" s="3" t="n">
        <v>79999.99999999988</v>
      </c>
      <c r="E13" s="3" t="n">
        <v>-500000</v>
      </c>
      <c r="F13" s="3" t="n">
        <v>6100000</v>
      </c>
      <c r="G13" s="3" t="n">
        <v>550000</v>
      </c>
      <c r="H13" s="3" t="n">
        <v>655814</v>
      </c>
      <c r="I13" s="15" t="n">
        <v>13760638</v>
      </c>
    </row>
    <row r="14">
      <c r="A14" s="16" t="inlineStr">
        <is>
          <t>Dotação autorizada 2026 (LEI + ALTERAÇÃO)</t>
        </is>
      </c>
      <c r="B14" s="7" t="n">
        <v>68374824</v>
      </c>
      <c r="C14" s="7" t="n">
        <v>0</v>
      </c>
      <c r="D14" s="7" t="n">
        <v>16586907</v>
      </c>
      <c r="E14" s="7" t="n">
        <v>2143843</v>
      </c>
      <c r="F14" s="7" t="n">
        <v>6100000</v>
      </c>
      <c r="G14" s="7" t="n">
        <v>550000</v>
      </c>
      <c r="H14" s="7" t="n">
        <v>655814</v>
      </c>
      <c r="I14" s="15" t="n">
        <v>94411388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0.59</v>
      </c>
      <c r="E15" s="3" t="n">
        <v>0</v>
      </c>
      <c r="F15" s="3" t="n">
        <v>0</v>
      </c>
      <c r="G15" s="3" t="n">
        <v>0</v>
      </c>
      <c r="H15" s="3" t="n">
        <v>0</v>
      </c>
      <c r="I15" s="15" t="n">
        <v>0.59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18000.98</v>
      </c>
      <c r="E16" s="3" t="n">
        <v>0</v>
      </c>
      <c r="F16" s="3" t="n">
        <v>0</v>
      </c>
      <c r="G16" s="3" t="n">
        <v>0</v>
      </c>
      <c r="H16" s="3" t="n">
        <v>0</v>
      </c>
      <c r="I16" s="15" t="n">
        <v>18000.98</v>
      </c>
    </row>
    <row r="17">
      <c r="A17" s="16" t="inlineStr">
        <is>
          <t>Despesa autorizada 2026 (DESP AUT.)</t>
        </is>
      </c>
      <c r="B17" s="7" t="n">
        <v>68374824</v>
      </c>
      <c r="C17" s="7" t="n">
        <v>0</v>
      </c>
      <c r="D17" s="7" t="n">
        <v>16568905.43</v>
      </c>
      <c r="E17" s="7" t="n">
        <v>2143843</v>
      </c>
      <c r="F17" s="7" t="n">
        <v>6100000</v>
      </c>
      <c r="G17" s="7" t="n">
        <v>550000</v>
      </c>
      <c r="H17" s="7" t="n">
        <v>655814</v>
      </c>
      <c r="I17" s="15" t="n">
        <v>94393386.43000001</v>
      </c>
    </row>
    <row r="18">
      <c r="A18" s="16" t="inlineStr">
        <is>
          <t>Empenhado 2026 (jan–ago fechado)</t>
        </is>
      </c>
      <c r="B18" s="7" t="n">
        <v>53112605.08000001</v>
      </c>
      <c r="C18" s="7" t="n">
        <v>0</v>
      </c>
      <c r="D18" s="7" t="n">
        <v>3154968.43</v>
      </c>
      <c r="E18" s="7" t="n">
        <v>1942278.22</v>
      </c>
      <c r="F18" s="7" t="n">
        <v>6099452.95</v>
      </c>
      <c r="G18" s="7" t="n">
        <v>550000</v>
      </c>
      <c r="H18" s="7" t="n">
        <v>655814</v>
      </c>
      <c r="I18" s="15" t="n">
        <v>65515118.68000001</v>
      </c>
    </row>
    <row r="19">
      <c r="A19" s="2" t="inlineStr">
        <is>
          <t>Disponível 2026 (saldo)</t>
        </is>
      </c>
      <c r="B19" s="3" t="n">
        <v>15262218.92</v>
      </c>
      <c r="C19" s="3" t="n">
        <v>0</v>
      </c>
      <c r="D19" s="3" t="n">
        <v>13413937</v>
      </c>
      <c r="E19" s="3" t="n">
        <v>201564.78</v>
      </c>
      <c r="F19" s="3" t="n">
        <v>547.05</v>
      </c>
      <c r="G19" s="3" t="n">
        <v>0</v>
      </c>
      <c r="H19" s="3" t="n">
        <v>0</v>
      </c>
      <c r="I19" s="15" t="n">
        <v>28878267.75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</row>
    <row r="21">
      <c r="A21" s="16" t="inlineStr">
        <is>
          <t>Déficit/superávit vs dotação autorizada (LEI+ALT)</t>
        </is>
      </c>
      <c r="B21" s="7" t="n">
        <v>-19630508.22</v>
      </c>
      <c r="C21" s="7" t="n">
        <v>-40979568.66</v>
      </c>
      <c r="D21" s="7" t="n">
        <v>16461161.17</v>
      </c>
      <c r="E21" s="7" t="n">
        <v>2143843</v>
      </c>
      <c r="F21" s="7" t="n">
        <v>-5114373.02</v>
      </c>
      <c r="G21" s="7" t="n">
        <v>550000</v>
      </c>
      <c r="H21" s="7" t="n">
        <v>655814</v>
      </c>
      <c r="I21" s="15" t="n">
        <v>-45913631.73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>
      <c r="A23" s="2" t="inlineStr">
        <is>
          <t>Liquidado acumulado 2026 (jan–ago)</t>
        </is>
      </c>
      <c r="B23" s="3" t="n">
        <v>37511281.21</v>
      </c>
      <c r="C23" s="3" t="n">
        <v>0</v>
      </c>
      <c r="D23" s="3" t="n">
        <v>2903044.94</v>
      </c>
      <c r="E23" s="3" t="n">
        <v>1841143.19</v>
      </c>
      <c r="F23" s="3" t="n">
        <v>5539721</v>
      </c>
      <c r="G23" s="3" t="n">
        <v>550000</v>
      </c>
      <c r="H23" s="3" t="n">
        <v>655814</v>
      </c>
      <c r="I23" s="15" t="n">
        <v>49001004.34</v>
      </c>
    </row>
    <row r="24">
      <c r="A24" s="2" t="inlineStr">
        <is>
          <t>Média mensal do liquidado (abr–ago)</t>
        </is>
      </c>
      <c r="B24" s="3" t="n">
        <v>5073673.39</v>
      </c>
      <c r="C24" s="3" t="n">
        <v>0</v>
      </c>
      <c r="D24" s="3" t="n">
        <v>292332.746</v>
      </c>
      <c r="E24" s="3" t="n">
        <v>68438.53200000001</v>
      </c>
      <c r="F24" s="3" t="n">
        <v>712145.446</v>
      </c>
      <c r="G24" s="3" t="n">
        <v>110000</v>
      </c>
      <c r="H24" s="3" t="n">
        <v>131162.8</v>
      </c>
      <c r="I24" s="15" t="n">
        <v>6387752.914</v>
      </c>
    </row>
    <row r="25">
      <c r="A25" s="2" t="inlineStr">
        <is>
          <t>Projeção do liquidado até dez (acum + média × meses restantes)</t>
        </is>
      </c>
      <c r="B25" s="3" t="n">
        <v>57805974.77</v>
      </c>
      <c r="C25" s="3" t="n">
        <v>0</v>
      </c>
      <c r="D25" s="3" t="n">
        <v>4072375.924</v>
      </c>
      <c r="E25" s="3" t="n">
        <v>2114897.318</v>
      </c>
      <c r="F25" s="3" t="n">
        <v>8388302.784</v>
      </c>
      <c r="G25" s="3" t="n">
        <v>990000</v>
      </c>
      <c r="H25" s="3" t="n">
        <v>1180465.2</v>
      </c>
      <c r="I25" s="15" t="n">
        <v>74552015.99599999</v>
      </c>
    </row>
    <row r="26">
      <c r="A26" s="16" t="inlineStr">
        <is>
          <t>Déficit/superávit vs dotação autorizada (LEI+ALT)</t>
        </is>
      </c>
      <c r="B26" s="7" t="n">
        <v>10568849.23</v>
      </c>
      <c r="C26" s="7" t="n">
        <v>0</v>
      </c>
      <c r="D26" s="7" t="n">
        <v>12514531.076</v>
      </c>
      <c r="E26" s="7" t="n">
        <v>28945.68200000003</v>
      </c>
      <c r="F26" s="7" t="n">
        <v>-2288302.784</v>
      </c>
      <c r="G26" s="7" t="n">
        <v>-440000</v>
      </c>
      <c r="H26" s="7" t="n">
        <v>-524651.2</v>
      </c>
      <c r="I26" s="15" t="n">
        <v>19859372.004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</row>
    <row r="28">
      <c r="A28" s="2" t="inlineStr">
        <is>
          <t>Liquidado acumulado 2026 (jan–ago)</t>
        </is>
      </c>
      <c r="B28" s="3" t="n">
        <v>37511281.21</v>
      </c>
      <c r="C28" s="3" t="n">
        <v>0</v>
      </c>
      <c r="D28" s="3" t="n">
        <v>2903044.94</v>
      </c>
      <c r="E28" s="3" t="n">
        <v>1841143.19</v>
      </c>
      <c r="F28" s="3" t="n">
        <v>5539721</v>
      </c>
      <c r="G28" s="3" t="n">
        <v>550000</v>
      </c>
      <c r="H28" s="3" t="n">
        <v>655814</v>
      </c>
      <c r="I28" s="15" t="n">
        <v>49001004.34</v>
      </c>
    </row>
    <row r="29">
      <c r="A29" s="2" t="inlineStr">
        <is>
          <t>Mediana mensal do liquidado (abr–ago)</t>
        </is>
      </c>
      <c r="B29" s="3" t="n">
        <v>4840597.09</v>
      </c>
      <c r="C29" s="3" t="n">
        <v>0</v>
      </c>
      <c r="D29" s="3" t="n">
        <v>128928.61</v>
      </c>
      <c r="E29" s="3" t="n">
        <v>0</v>
      </c>
      <c r="F29" s="3" t="n">
        <v>176241.64</v>
      </c>
      <c r="G29" s="3" t="n">
        <v>0</v>
      </c>
      <c r="H29" s="3" t="n">
        <v>0</v>
      </c>
      <c r="I29" s="15" t="n">
        <v>5145767.34</v>
      </c>
    </row>
    <row r="30">
      <c r="A30" s="2" t="inlineStr">
        <is>
          <t>Projeção do liquidado até dez (acum + mediana × meses restantes)</t>
        </is>
      </c>
      <c r="B30" s="3" t="n">
        <v>56873669.57</v>
      </c>
      <c r="C30" s="3" t="n">
        <v>0</v>
      </c>
      <c r="D30" s="3" t="n">
        <v>3418759.38</v>
      </c>
      <c r="E30" s="3" t="n">
        <v>1841143.19</v>
      </c>
      <c r="F30" s="3" t="n">
        <v>6244687.560000001</v>
      </c>
      <c r="G30" s="3" t="n">
        <v>550000</v>
      </c>
      <c r="H30" s="3" t="n">
        <v>655814</v>
      </c>
      <c r="I30" s="15" t="n">
        <v>69584073.7</v>
      </c>
    </row>
    <row r="31">
      <c r="A31" s="16" t="inlineStr">
        <is>
          <t>Déficit/superávit vs dotação autorizada (LEI+ALT)</t>
        </is>
      </c>
      <c r="B31" s="7" t="n">
        <v>11501154.43</v>
      </c>
      <c r="C31" s="7" t="n">
        <v>0</v>
      </c>
      <c r="D31" s="7" t="n">
        <v>13168147.62</v>
      </c>
      <c r="E31" s="7" t="n">
        <v>302699.8100000001</v>
      </c>
      <c r="F31" s="7" t="n">
        <v>-144687.5600000005</v>
      </c>
      <c r="G31" s="7" t="n">
        <v>0</v>
      </c>
      <c r="H31" s="7" t="n">
        <v>0</v>
      </c>
      <c r="I31" s="15" t="n">
        <v>24827314.3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(R$ 94,4 mi) é inferior ao empenhado de 2025 (R$ 140,3 mi), déficit potencial de R$ 45,9 mi caso a demanda repita o exercício anterior.</t>
        </is>
      </c>
    </row>
    <row r="35" ht="18" customHeight="1">
      <c r="A35" s="18" t="inlineStr">
        <is>
          <t>2.  Ritmo de execução: 69,4%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(R$ 74,6 mi) fica abaixo da dotação — folga de R$ 19,9 mi.</t>
        </is>
      </c>
    </row>
    <row r="37" ht="33" customHeight="1">
      <c r="A37" s="18" t="inlineStr">
        <is>
          <t>4.  Comparação 3 (mediana): pela mediana dos 5 meses fechados (abr–ago), a projeção do liquidado até dez (R$ 69,6 mi) fica abaixo da dotação — folga de R$ 24,8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140325019.73</v>
      </c>
    </row>
    <row r="41">
      <c r="A41" s="20" t="inlineStr">
        <is>
          <t>Dotação Autorizada 2026</t>
        </is>
      </c>
      <c r="B41" s="21" t="n">
        <v>94411388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122372.19</v>
      </c>
      <c r="C44" s="21" t="n">
        <v>94411388</v>
      </c>
    </row>
    <row r="45">
      <c r="A45" s="20" t="inlineStr">
        <is>
          <t>Fev</t>
        </is>
      </c>
      <c r="B45" s="21" t="n">
        <v>9386994.4</v>
      </c>
      <c r="C45" s="21" t="n">
        <v>94411388</v>
      </c>
    </row>
    <row r="46">
      <c r="A46" s="20" t="inlineStr">
        <is>
          <t>Mar</t>
        </is>
      </c>
      <c r="B46" s="21" t="n">
        <v>17062239.77</v>
      </c>
      <c r="C46" s="21" t="n">
        <v>94411388</v>
      </c>
    </row>
    <row r="47">
      <c r="A47" s="20" t="inlineStr">
        <is>
          <t>Abr</t>
        </is>
      </c>
      <c r="B47" s="21" t="n">
        <v>24742075.72</v>
      </c>
      <c r="C47" s="21" t="n">
        <v>94411388</v>
      </c>
    </row>
    <row r="48">
      <c r="A48" s="20" t="inlineStr">
        <is>
          <t>Mai</t>
        </is>
      </c>
      <c r="B48" s="21" t="n">
        <v>29134756.43</v>
      </c>
      <c r="C48" s="21" t="n">
        <v>94411388</v>
      </c>
    </row>
    <row r="49">
      <c r="A49" s="20" t="inlineStr">
        <is>
          <t>Jun</t>
        </is>
      </c>
      <c r="B49" s="21" t="n">
        <v>37359390.34</v>
      </c>
      <c r="C49" s="21" t="n">
        <v>94411388</v>
      </c>
    </row>
    <row r="50">
      <c r="A50" s="20" t="inlineStr">
        <is>
          <t>Jul</t>
        </is>
      </c>
      <c r="B50" s="21" t="n">
        <v>42199987.43000001</v>
      </c>
      <c r="C50" s="21" t="n">
        <v>94411388</v>
      </c>
    </row>
    <row r="51">
      <c r="A51" s="20" t="inlineStr">
        <is>
          <t>Ago</t>
        </is>
      </c>
      <c r="B51" s="21" t="n">
        <v>49001004.34</v>
      </c>
      <c r="C51" s="21" t="n">
        <v>94411388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129110646.71</v>
      </c>
    </row>
    <row r="54">
      <c r="A54" s="20" t="inlineStr">
        <is>
          <t>Dotação Autorizada 2026 (tesouro)</t>
        </is>
      </c>
      <c r="B54" s="21" t="n">
        <v>84961731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122372.19</v>
      </c>
      <c r="C57" s="21" t="n">
        <v>84961731</v>
      </c>
    </row>
    <row r="58">
      <c r="A58" s="20" t="inlineStr">
        <is>
          <t>Fev</t>
        </is>
      </c>
      <c r="B58" s="21" t="n">
        <v>8387898.590000001</v>
      </c>
      <c r="C58" s="21" t="n">
        <v>84961731</v>
      </c>
    </row>
    <row r="59">
      <c r="A59" s="20" t="inlineStr">
        <is>
          <t>Mar</t>
        </is>
      </c>
      <c r="B59" s="21" t="n">
        <v>13584295.47</v>
      </c>
      <c r="C59" s="21" t="n">
        <v>84961731</v>
      </c>
    </row>
    <row r="60">
      <c r="A60" s="20" t="inlineStr">
        <is>
          <t>Abr</t>
        </is>
      </c>
      <c r="B60" s="21" t="n">
        <v>18257370.33</v>
      </c>
      <c r="C60" s="21" t="n">
        <v>84961731</v>
      </c>
    </row>
    <row r="61">
      <c r="A61" s="20" t="inlineStr">
        <is>
          <t>Mai</t>
        </is>
      </c>
      <c r="B61" s="21" t="n">
        <v>21719040.24</v>
      </c>
      <c r="C61" s="21" t="n">
        <v>84961731</v>
      </c>
    </row>
    <row r="62">
      <c r="A62" s="20" t="inlineStr">
        <is>
          <t>Jun</t>
        </is>
      </c>
      <c r="B62" s="21" t="n">
        <v>29428526.15</v>
      </c>
      <c r="C62" s="21" t="n">
        <v>84961731</v>
      </c>
    </row>
    <row r="63">
      <c r="A63" s="20" t="inlineStr">
        <is>
          <t>Jul</t>
        </is>
      </c>
      <c r="B63" s="21" t="n">
        <v>34269123.23999999</v>
      </c>
      <c r="C63" s="21" t="n">
        <v>84961731</v>
      </c>
    </row>
    <row r="64">
      <c r="A64" s="20" t="inlineStr">
        <is>
          <t>Ago</t>
        </is>
      </c>
      <c r="B64" s="21" t="n">
        <v>40414326.14999999</v>
      </c>
      <c r="C64" s="21" t="n">
        <v>84961731</v>
      </c>
    </row>
  </sheetData>
  <mergeCells count="5">
    <mergeCell ref="A33:I33"/>
    <mergeCell ref="A37:I37"/>
    <mergeCell ref="A36:I36"/>
    <mergeCell ref="A34:I34"/>
    <mergeCell ref="A35:I3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26.782.6216.2885.0001 — DER — Manutenção de Máquinas e Equipamentos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FONTE 220</t>
        </is>
      </c>
      <c r="F4" s="12" t="inlineStr">
        <is>
          <t>FONTE 237</t>
        </is>
      </c>
      <c r="G4" s="12" t="inlineStr">
        <is>
          <t>FONTE 437</t>
        </is>
      </c>
      <c r="H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</row>
    <row r="6">
      <c r="A6" s="2" t="inlineStr">
        <is>
          <t>Dotação inicial (LEI) 2025</t>
        </is>
      </c>
      <c r="B6" s="3" t="n">
        <v>600000</v>
      </c>
      <c r="C6" s="3" t="n">
        <v>2000000</v>
      </c>
      <c r="D6" s="3" t="n">
        <v>0</v>
      </c>
      <c r="E6" s="3" t="n">
        <v>2000000</v>
      </c>
      <c r="F6" s="3" t="n">
        <v>1500000</v>
      </c>
      <c r="G6" s="3" t="n">
        <v>0</v>
      </c>
      <c r="H6" s="15" t="n">
        <v>6100000</v>
      </c>
    </row>
    <row r="7">
      <c r="A7" s="2" t="inlineStr">
        <is>
          <t>Alterações 2025</t>
        </is>
      </c>
      <c r="B7" s="3" t="n">
        <v>-253561</v>
      </c>
      <c r="C7" s="3" t="n">
        <v>0</v>
      </c>
      <c r="D7" s="3" t="n">
        <v>0</v>
      </c>
      <c r="E7" s="3" t="n">
        <v>-1000000</v>
      </c>
      <c r="F7" s="3" t="n">
        <v>600000</v>
      </c>
      <c r="G7" s="3" t="n">
        <v>0</v>
      </c>
      <c r="H7" s="15" t="n">
        <v>-653561</v>
      </c>
    </row>
    <row r="8">
      <c r="A8" s="2" t="inlineStr">
        <is>
          <t>Despesa autorizada 2025 (DESP AUT.)</t>
        </is>
      </c>
      <c r="B8" s="3" t="n">
        <v>346438.96</v>
      </c>
      <c r="C8" s="3" t="n">
        <v>2000000</v>
      </c>
      <c r="D8" s="3" t="n">
        <v>0</v>
      </c>
      <c r="E8" s="3" t="n">
        <v>1000000</v>
      </c>
      <c r="F8" s="3" t="n">
        <v>1520000</v>
      </c>
      <c r="G8" s="3" t="n">
        <v>0</v>
      </c>
      <c r="H8" s="15" t="n">
        <v>4866438.96</v>
      </c>
    </row>
    <row r="9">
      <c r="A9" s="16" t="inlineStr">
        <is>
          <t>Empenhado 2025</t>
        </is>
      </c>
      <c r="B9" s="7" t="n">
        <v>331707.56</v>
      </c>
      <c r="C9" s="7" t="n">
        <v>1993597</v>
      </c>
      <c r="D9" s="7" t="n">
        <v>0</v>
      </c>
      <c r="E9" s="7" t="n">
        <v>942346.3100000001</v>
      </c>
      <c r="F9" s="7" t="n">
        <v>1514049.16</v>
      </c>
      <c r="G9" s="7" t="n">
        <v>0</v>
      </c>
      <c r="H9" s="15" t="n">
        <v>4781700.03</v>
      </c>
    </row>
    <row r="10">
      <c r="A10" s="2" t="inlineStr">
        <is>
          <t>Liquidado 2025</t>
        </is>
      </c>
      <c r="B10" s="3" t="n">
        <v>331707.56</v>
      </c>
      <c r="C10" s="3" t="n">
        <v>1993597</v>
      </c>
      <c r="D10" s="3" t="n">
        <v>0</v>
      </c>
      <c r="E10" s="3" t="n">
        <v>942346.3100000001</v>
      </c>
      <c r="F10" s="3" t="n">
        <v>1514049.16</v>
      </c>
      <c r="G10" s="3" t="n">
        <v>0</v>
      </c>
      <c r="H10" s="15" t="n">
        <v>4781700.03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</row>
    <row r="12">
      <c r="A12" s="2" t="inlineStr">
        <is>
          <t>Dotação inicial (LEI) 2026</t>
        </is>
      </c>
      <c r="B12" s="3" t="n">
        <v>3000000</v>
      </c>
      <c r="C12" s="3" t="n">
        <v>0</v>
      </c>
      <c r="D12" s="3" t="n">
        <v>600000</v>
      </c>
      <c r="E12" s="3" t="n">
        <v>0</v>
      </c>
      <c r="F12" s="3" t="n">
        <v>1100000</v>
      </c>
      <c r="G12" s="3" t="n">
        <v>0</v>
      </c>
      <c r="H12" s="15" t="n">
        <v>4700000</v>
      </c>
    </row>
    <row r="13">
      <c r="A13" s="2" t="inlineStr">
        <is>
          <t>Alterações 2026</t>
        </is>
      </c>
      <c r="B13" s="3" t="n">
        <v>-750000</v>
      </c>
      <c r="C13" s="3" t="n">
        <v>0</v>
      </c>
      <c r="D13" s="3" t="n">
        <v>0</v>
      </c>
      <c r="E13" s="3" t="n">
        <v>0</v>
      </c>
      <c r="F13" s="3" t="n">
        <v>600000</v>
      </c>
      <c r="G13" s="3" t="n">
        <v>400000</v>
      </c>
      <c r="H13" s="15" t="n">
        <v>250000</v>
      </c>
    </row>
    <row r="14">
      <c r="A14" s="16" t="inlineStr">
        <is>
          <t>Dotação autorizada 2026 (LEI + ALTERAÇÃO)</t>
        </is>
      </c>
      <c r="B14" s="7" t="n">
        <v>2250000</v>
      </c>
      <c r="C14" s="7" t="n">
        <v>0</v>
      </c>
      <c r="D14" s="7" t="n">
        <v>600000</v>
      </c>
      <c r="E14" s="7" t="n">
        <v>0</v>
      </c>
      <c r="F14" s="7" t="n">
        <v>1700000</v>
      </c>
      <c r="G14" s="7" t="n">
        <v>400000</v>
      </c>
      <c r="H14" s="15" t="n">
        <v>4950000</v>
      </c>
    </row>
    <row r="15">
      <c r="A15" s="2" t="inlineStr">
        <is>
          <t>Cota a liberar 2026</t>
        </is>
      </c>
      <c r="B15" s="3" t="n">
        <v>322072.67</v>
      </c>
      <c r="C15" s="3" t="n">
        <v>0</v>
      </c>
      <c r="D15" s="3" t="n">
        <v>222000</v>
      </c>
      <c r="E15" s="3" t="n">
        <v>0</v>
      </c>
      <c r="F15" s="3" t="n">
        <v>0</v>
      </c>
      <c r="G15" s="3" t="n">
        <v>0</v>
      </c>
      <c r="H15" s="15" t="n">
        <v>544072.6699999999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269210.5</v>
      </c>
      <c r="E16" s="3" t="n">
        <v>0</v>
      </c>
      <c r="F16" s="3" t="n">
        <v>0</v>
      </c>
      <c r="G16" s="3" t="n">
        <v>0</v>
      </c>
      <c r="H16" s="15" t="n">
        <v>269210.5</v>
      </c>
    </row>
    <row r="17">
      <c r="A17" s="16" t="inlineStr">
        <is>
          <t>Despesa autorizada 2026 (DESP AUT.)</t>
        </is>
      </c>
      <c r="B17" s="7" t="n">
        <v>1927927.33</v>
      </c>
      <c r="C17" s="7" t="n">
        <v>0</v>
      </c>
      <c r="D17" s="7" t="n">
        <v>108789.5</v>
      </c>
      <c r="E17" s="7" t="n">
        <v>0</v>
      </c>
      <c r="F17" s="7" t="n">
        <v>1700000</v>
      </c>
      <c r="G17" s="7" t="n">
        <v>400000</v>
      </c>
      <c r="H17" s="15" t="n">
        <v>4136716.83</v>
      </c>
    </row>
    <row r="18">
      <c r="A18" s="16" t="inlineStr">
        <is>
          <t>Empenhado 2026 (jan–ago fechado)</t>
        </is>
      </c>
      <c r="B18" s="7" t="n">
        <v>1506653.97</v>
      </c>
      <c r="C18" s="7" t="n">
        <v>0</v>
      </c>
      <c r="D18" s="7" t="n">
        <v>108542</v>
      </c>
      <c r="E18" s="7" t="n">
        <v>0</v>
      </c>
      <c r="F18" s="7" t="n">
        <v>1448806.38</v>
      </c>
      <c r="G18" s="7" t="n">
        <v>400000</v>
      </c>
      <c r="H18" s="15" t="n">
        <v>3464002.35</v>
      </c>
    </row>
    <row r="19">
      <c r="A19" s="2" t="inlineStr">
        <is>
          <t>Disponível 2026 (saldo)</t>
        </is>
      </c>
      <c r="B19" s="3" t="n">
        <v>421273.36</v>
      </c>
      <c r="C19" s="3" t="n">
        <v>0</v>
      </c>
      <c r="D19" s="3" t="n">
        <v>247.5</v>
      </c>
      <c r="E19" s="3" t="n">
        <v>0</v>
      </c>
      <c r="F19" s="3" t="n">
        <v>251193.62</v>
      </c>
      <c r="G19" s="3" t="n">
        <v>0</v>
      </c>
      <c r="H19" s="15" t="n">
        <v>672714.48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</row>
    <row r="21">
      <c r="A21" s="16" t="inlineStr">
        <is>
          <t>Déficit/superávit vs dotação autorizada (LEI+ALT)</t>
        </is>
      </c>
      <c r="B21" s="7" t="n">
        <v>1918292.44</v>
      </c>
      <c r="C21" s="7" t="n">
        <v>-1993597</v>
      </c>
      <c r="D21" s="7" t="n">
        <v>600000</v>
      </c>
      <c r="E21" s="7" t="n">
        <v>-942346.3100000001</v>
      </c>
      <c r="F21" s="7" t="n">
        <v>185950.8400000001</v>
      </c>
      <c r="G21" s="7" t="n">
        <v>400000</v>
      </c>
      <c r="H21" s="15" t="n">
        <v>168299.97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</row>
    <row r="23">
      <c r="A23" s="2" t="inlineStr">
        <is>
          <t>Liquidado acumulado 2026 (jan–ago)</t>
        </is>
      </c>
      <c r="B23" s="3" t="n">
        <v>686268.03</v>
      </c>
      <c r="C23" s="3" t="n">
        <v>0</v>
      </c>
      <c r="D23" s="3" t="n">
        <v>94661</v>
      </c>
      <c r="E23" s="3" t="n">
        <v>0</v>
      </c>
      <c r="F23" s="3" t="n">
        <v>1044074.92</v>
      </c>
      <c r="G23" s="3" t="n">
        <v>400000</v>
      </c>
      <c r="H23" s="15" t="n">
        <v>2225003.95</v>
      </c>
    </row>
    <row r="24">
      <c r="A24" s="2" t="inlineStr">
        <is>
          <t>Média mensal do liquidado (abr–ago)</t>
        </is>
      </c>
      <c r="B24" s="3" t="n">
        <v>127992.402</v>
      </c>
      <c r="C24" s="3" t="n">
        <v>0</v>
      </c>
      <c r="D24" s="3" t="n">
        <v>18898.6</v>
      </c>
      <c r="E24" s="3" t="n">
        <v>0</v>
      </c>
      <c r="F24" s="3" t="n">
        <v>45255.838</v>
      </c>
      <c r="G24" s="3" t="n">
        <v>80000</v>
      </c>
      <c r="H24" s="15" t="n">
        <v>272146.84</v>
      </c>
    </row>
    <row r="25">
      <c r="A25" s="2" t="inlineStr">
        <is>
          <t>Projeção do liquidado até dez (acum + média × meses restantes)</t>
        </is>
      </c>
      <c r="B25" s="3" t="n">
        <v>1198237.638</v>
      </c>
      <c r="C25" s="3" t="n">
        <v>0</v>
      </c>
      <c r="D25" s="3" t="n">
        <v>170255.4</v>
      </c>
      <c r="E25" s="3" t="n">
        <v>0</v>
      </c>
      <c r="F25" s="3" t="n">
        <v>1225098.272</v>
      </c>
      <c r="G25" s="3" t="n">
        <v>720000</v>
      </c>
      <c r="H25" s="15" t="n">
        <v>3313591.31</v>
      </c>
    </row>
    <row r="26">
      <c r="A26" s="16" t="inlineStr">
        <is>
          <t>Déficit/superávit vs dotação autorizada (LEI+ALT)</t>
        </is>
      </c>
      <c r="B26" s="7" t="n">
        <v>1051762.362</v>
      </c>
      <c r="C26" s="7" t="n">
        <v>0</v>
      </c>
      <c r="D26" s="7" t="n">
        <v>429744.6</v>
      </c>
      <c r="E26" s="7" t="n">
        <v>0</v>
      </c>
      <c r="F26" s="7" t="n">
        <v>474901.7279999999</v>
      </c>
      <c r="G26" s="7" t="n">
        <v>-320000</v>
      </c>
      <c r="H26" s="15" t="n">
        <v>1636408.69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</row>
    <row r="28">
      <c r="A28" s="2" t="inlineStr">
        <is>
          <t>Liquidado acumulado 2026 (jan–ago)</t>
        </is>
      </c>
      <c r="B28" s="3" t="n">
        <v>686268.03</v>
      </c>
      <c r="C28" s="3" t="n">
        <v>0</v>
      </c>
      <c r="D28" s="3" t="n">
        <v>94661</v>
      </c>
      <c r="E28" s="3" t="n">
        <v>0</v>
      </c>
      <c r="F28" s="3" t="n">
        <v>1044074.92</v>
      </c>
      <c r="G28" s="3" t="n">
        <v>400000</v>
      </c>
      <c r="H28" s="15" t="n">
        <v>2225003.95</v>
      </c>
    </row>
    <row r="29">
      <c r="A29" s="2" t="inlineStr">
        <is>
          <t>Mediana mensal do liquidado (abr–ago)</t>
        </is>
      </c>
      <c r="B29" s="3" t="n">
        <v>101518.8</v>
      </c>
      <c r="C29" s="3" t="n">
        <v>0</v>
      </c>
      <c r="D29" s="3" t="n">
        <v>3782</v>
      </c>
      <c r="E29" s="3" t="n">
        <v>0</v>
      </c>
      <c r="F29" s="3" t="n">
        <v>18496.63</v>
      </c>
      <c r="G29" s="3" t="n">
        <v>69642.69</v>
      </c>
      <c r="H29" s="15" t="n">
        <v>193440.12</v>
      </c>
    </row>
    <row r="30">
      <c r="A30" s="2" t="inlineStr">
        <is>
          <t>Projeção do liquidado até dez (acum + mediana × meses restantes)</t>
        </is>
      </c>
      <c r="B30" s="3" t="n">
        <v>1092343.23</v>
      </c>
      <c r="C30" s="3" t="n">
        <v>0</v>
      </c>
      <c r="D30" s="3" t="n">
        <v>109789</v>
      </c>
      <c r="E30" s="3" t="n">
        <v>0</v>
      </c>
      <c r="F30" s="3" t="n">
        <v>1118061.44</v>
      </c>
      <c r="G30" s="3" t="n">
        <v>678570.76</v>
      </c>
      <c r="H30" s="15" t="n">
        <v>2998764.43</v>
      </c>
    </row>
    <row r="31">
      <c r="A31" s="16" t="inlineStr">
        <is>
          <t>Déficit/superávit vs dotação autorizada (LEI+ALT)</t>
        </is>
      </c>
      <c r="B31" s="7" t="n">
        <v>1157656.77</v>
      </c>
      <c r="C31" s="7" t="n">
        <v>0</v>
      </c>
      <c r="D31" s="7" t="n">
        <v>490211</v>
      </c>
      <c r="E31" s="7" t="n">
        <v>0</v>
      </c>
      <c r="F31" s="7" t="n">
        <v>581938.5600000001</v>
      </c>
      <c r="G31" s="7" t="n">
        <v>-278570.76</v>
      </c>
      <c r="H31" s="15" t="n">
        <v>1951235.57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(R$ 5,0 mi) supera o empenhado de 2025 (R$ 4,8 mi), folga de R$ 0,2 mi frente ao exercício anterior.</t>
        </is>
      </c>
    </row>
    <row r="35" ht="18" customHeight="1">
      <c r="A35" s="18" t="inlineStr">
        <is>
          <t>2.  Ritmo de execução: 83,7%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(R$ 3,3 mi) fica abaixo da dotação — folga de R$ 1,6 mi.</t>
        </is>
      </c>
    </row>
    <row r="37" ht="33" customHeight="1">
      <c r="A37" s="18" t="inlineStr">
        <is>
          <t>4.  Comparação 3 (mediana): pela mediana dos 5 meses fechados (abr–ago), a projeção do liquidado até dez (R$ 3,0 mi) fica abaixo da dotação — folga de R$ 2,0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4781700.03</v>
      </c>
    </row>
    <row r="41">
      <c r="A41" s="20" t="inlineStr">
        <is>
          <t>Dotação Autorizada 2026</t>
        </is>
      </c>
      <c r="B41" s="21" t="n">
        <v>4950000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51273.12</v>
      </c>
      <c r="C44" s="21" t="n">
        <v>4950000</v>
      </c>
    </row>
    <row r="45">
      <c r="A45" s="20" t="inlineStr">
        <is>
          <t>Fev</t>
        </is>
      </c>
      <c r="B45" s="21" t="n">
        <v>150772.26</v>
      </c>
      <c r="C45" s="21" t="n">
        <v>4950000</v>
      </c>
    </row>
    <row r="46">
      <c r="A46" s="20" t="inlineStr">
        <is>
          <t>Mar</t>
        </is>
      </c>
      <c r="B46" s="21" t="n">
        <v>864269.75</v>
      </c>
      <c r="C46" s="21" t="n">
        <v>4950000</v>
      </c>
    </row>
    <row r="47">
      <c r="A47" s="20" t="inlineStr">
        <is>
          <t>Abr</t>
        </is>
      </c>
      <c r="B47" s="21" t="n">
        <v>1157064.02</v>
      </c>
      <c r="C47" s="21" t="n">
        <v>4950000</v>
      </c>
    </row>
    <row r="48">
      <c r="A48" s="20" t="inlineStr">
        <is>
          <t>Mai</t>
        </is>
      </c>
      <c r="B48" s="21" t="n">
        <v>1339287.09</v>
      </c>
      <c r="C48" s="21" t="n">
        <v>4950000</v>
      </c>
    </row>
    <row r="49">
      <c r="A49" s="20" t="inlineStr">
        <is>
          <t>Jun</t>
        </is>
      </c>
      <c r="B49" s="21" t="n">
        <v>1700815.15</v>
      </c>
      <c r="C49" s="21" t="n">
        <v>4950000</v>
      </c>
    </row>
    <row r="50">
      <c r="A50" s="20" t="inlineStr">
        <is>
          <t>Jul</t>
        </is>
      </c>
      <c r="B50" s="21" t="n">
        <v>2088914.2</v>
      </c>
      <c r="C50" s="21" t="n">
        <v>4950000</v>
      </c>
    </row>
    <row r="51">
      <c r="A51" s="20" t="inlineStr">
        <is>
          <t>Ago</t>
        </is>
      </c>
      <c r="B51" s="21" t="n">
        <v>2225003.95</v>
      </c>
      <c r="C51" s="21" t="n">
        <v>4950000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2325304.56</v>
      </c>
    </row>
    <row r="54">
      <c r="A54" s="20" t="inlineStr">
        <is>
          <t>Dotação Autorizada 2026 (tesouro)</t>
        </is>
      </c>
      <c r="B54" s="21" t="n">
        <v>2850000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168</v>
      </c>
      <c r="C57" s="21" t="n">
        <v>2850000</v>
      </c>
    </row>
    <row r="58">
      <c r="A58" s="20" t="inlineStr">
        <is>
          <t>Fev</t>
        </is>
      </c>
      <c r="B58" s="21" t="n">
        <v>5448</v>
      </c>
      <c r="C58" s="21" t="n">
        <v>2850000</v>
      </c>
    </row>
    <row r="59">
      <c r="A59" s="20" t="inlineStr">
        <is>
          <t>Mar</t>
        </is>
      </c>
      <c r="B59" s="21" t="n">
        <v>46474.02</v>
      </c>
      <c r="C59" s="21" t="n">
        <v>2850000</v>
      </c>
    </row>
    <row r="60">
      <c r="A60" s="20" t="inlineStr">
        <is>
          <t>Abr</t>
        </is>
      </c>
      <c r="B60" s="21" t="n">
        <v>189712.22</v>
      </c>
      <c r="C60" s="21" t="n">
        <v>2850000</v>
      </c>
    </row>
    <row r="61">
      <c r="A61" s="20" t="inlineStr">
        <is>
          <t>Mai</t>
        </is>
      </c>
      <c r="B61" s="21" t="n">
        <v>333198.5</v>
      </c>
      <c r="C61" s="21" t="n">
        <v>2850000</v>
      </c>
    </row>
    <row r="62">
      <c r="A62" s="20" t="inlineStr">
        <is>
          <t>Jun</t>
        </is>
      </c>
      <c r="B62" s="21" t="n">
        <v>454907.62</v>
      </c>
      <c r="C62" s="21" t="n">
        <v>2850000</v>
      </c>
    </row>
    <row r="63">
      <c r="A63" s="20" t="inlineStr">
        <is>
          <t>Jul</t>
        </is>
      </c>
      <c r="B63" s="21" t="n">
        <v>716155.54</v>
      </c>
      <c r="C63" s="21" t="n">
        <v>2850000</v>
      </c>
    </row>
    <row r="64">
      <c r="A64" s="20" t="inlineStr">
        <is>
          <t>Ago</t>
        </is>
      </c>
      <c r="B64" s="21" t="n">
        <v>780929.03</v>
      </c>
      <c r="C64" s="21" t="n">
        <v>2850000</v>
      </c>
    </row>
  </sheetData>
  <mergeCells count="5">
    <mergeCell ref="A35:H35"/>
    <mergeCell ref="A33:H33"/>
    <mergeCell ref="A36:H36"/>
    <mergeCell ref="A37:H3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08.245.6228.9071.0003 — FAS — Bloco Proteção Social Básica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158</t>
        </is>
      </c>
      <c r="D4" s="12" t="inlineStr">
        <is>
          <t>FONTE 358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12000000</v>
      </c>
      <c r="C6" s="3" t="n">
        <v>6200000</v>
      </c>
      <c r="D6" s="3" t="n">
        <v>0</v>
      </c>
      <c r="E6" s="15" t="n">
        <v>18200000</v>
      </c>
    </row>
    <row r="7">
      <c r="A7" s="2" t="inlineStr">
        <is>
          <t>Alterações 2025</t>
        </is>
      </c>
      <c r="B7" s="3" t="n">
        <v>5580075</v>
      </c>
      <c r="C7" s="3" t="n">
        <v>0</v>
      </c>
      <c r="D7" s="3" t="n">
        <v>8656636</v>
      </c>
      <c r="E7" s="15" t="n">
        <v>14236711</v>
      </c>
    </row>
    <row r="8">
      <c r="A8" s="2" t="inlineStr">
        <is>
          <t>Despesa autorizada 2025 (DESP AUT.)</t>
        </is>
      </c>
      <c r="B8" s="3" t="n">
        <v>17580075</v>
      </c>
      <c r="C8" s="3" t="n">
        <v>6200000</v>
      </c>
      <c r="D8" s="3" t="n">
        <v>8656636</v>
      </c>
      <c r="E8" s="15" t="n">
        <v>32436711</v>
      </c>
    </row>
    <row r="9">
      <c r="A9" s="16" t="inlineStr">
        <is>
          <t>Empenhado 2025</t>
        </is>
      </c>
      <c r="B9" s="7" t="n">
        <v>17580074.72</v>
      </c>
      <c r="C9" s="7" t="n">
        <v>3141357.59</v>
      </c>
      <c r="D9" s="7" t="n">
        <v>2102176.17</v>
      </c>
      <c r="E9" s="15" t="n">
        <v>22823608.48</v>
      </c>
    </row>
    <row r="10">
      <c r="A10" s="2" t="inlineStr">
        <is>
          <t>Liquidado 2025</t>
        </is>
      </c>
      <c r="B10" s="3" t="n">
        <v>17534322.55</v>
      </c>
      <c r="C10" s="3" t="n">
        <v>3109079.59</v>
      </c>
      <c r="D10" s="3" t="n">
        <v>1943391.3</v>
      </c>
      <c r="E10" s="15" t="n">
        <v>22586793.44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10785640</v>
      </c>
      <c r="C12" s="3" t="n">
        <v>8000000</v>
      </c>
      <c r="D12" s="3" t="n">
        <v>0</v>
      </c>
      <c r="E12" s="15" t="n">
        <v>18785640</v>
      </c>
    </row>
    <row r="13">
      <c r="A13" s="2" t="inlineStr">
        <is>
          <t>Alterações 2026</t>
        </is>
      </c>
      <c r="B13" s="3" t="n">
        <v>7590757</v>
      </c>
      <c r="C13" s="3" t="n">
        <v>0</v>
      </c>
      <c r="D13" s="3" t="n">
        <v>0</v>
      </c>
      <c r="E13" s="15" t="n">
        <v>7590757</v>
      </c>
    </row>
    <row r="14">
      <c r="A14" s="16" t="inlineStr">
        <is>
          <t>Dotação autorizada 2026 (LEI + ALTERAÇÃO)</t>
        </is>
      </c>
      <c r="B14" s="7" t="n">
        <v>18376397</v>
      </c>
      <c r="C14" s="7" t="n">
        <v>8000000</v>
      </c>
      <c r="D14" s="7" t="n">
        <v>0</v>
      </c>
      <c r="E14" s="15" t="n">
        <v>26376397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15" t="n">
        <v>0</v>
      </c>
    </row>
    <row r="17">
      <c r="A17" s="16" t="inlineStr">
        <is>
          <t>Despesa autorizada 2026 (DESP AUT.)</t>
        </is>
      </c>
      <c r="B17" s="7" t="n">
        <v>18376397</v>
      </c>
      <c r="C17" s="7" t="n">
        <v>8000000</v>
      </c>
      <c r="D17" s="7" t="n">
        <v>0</v>
      </c>
      <c r="E17" s="15" t="n">
        <v>26376397</v>
      </c>
    </row>
    <row r="18">
      <c r="A18" s="16" t="inlineStr">
        <is>
          <t>Empenhado 2026 (jan–ago fechado)</t>
        </is>
      </c>
      <c r="B18" s="7" t="n">
        <v>18376161.6</v>
      </c>
      <c r="C18" s="7" t="n">
        <v>699094</v>
      </c>
      <c r="D18" s="7" t="n">
        <v>0</v>
      </c>
      <c r="E18" s="15" t="n">
        <v>19075255.6</v>
      </c>
    </row>
    <row r="19">
      <c r="A19" s="2" t="inlineStr">
        <is>
          <t>Disponível 2026 (saldo)</t>
        </is>
      </c>
      <c r="B19" s="3" t="n">
        <v>235.4</v>
      </c>
      <c r="C19" s="3" t="n">
        <v>7300906</v>
      </c>
      <c r="D19" s="3" t="n">
        <v>0</v>
      </c>
      <c r="E19" s="15" t="n">
        <v>7301141.4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796322.2800000012</v>
      </c>
      <c r="C21" s="7" t="n">
        <v>4858642.41</v>
      </c>
      <c r="D21" s="7" t="n">
        <v>-2102176.17</v>
      </c>
      <c r="E21" s="15" t="n">
        <v>3552788.520000001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17850595.33</v>
      </c>
      <c r="C23" s="3" t="n">
        <v>699094</v>
      </c>
      <c r="D23" s="3" t="n">
        <v>0</v>
      </c>
      <c r="E23" s="15" t="n">
        <v>18549689.33</v>
      </c>
    </row>
    <row r="24">
      <c r="A24" s="2" t="inlineStr">
        <is>
          <t>Média mensal do liquidado (abr–ago)</t>
        </is>
      </c>
      <c r="B24" s="3" t="n">
        <v>1717203.606</v>
      </c>
      <c r="C24" s="3" t="n">
        <v>139818.8</v>
      </c>
      <c r="D24" s="3" t="n">
        <v>0</v>
      </c>
      <c r="E24" s="15" t="n">
        <v>1857022.406</v>
      </c>
    </row>
    <row r="25">
      <c r="A25" s="2" t="inlineStr">
        <is>
          <t>Projeção do liquidado até dez (acum + média × meses restantes)</t>
        </is>
      </c>
      <c r="B25" s="3" t="n">
        <v>24719409.754</v>
      </c>
      <c r="C25" s="3" t="n">
        <v>1258369.2</v>
      </c>
      <c r="D25" s="3" t="n">
        <v>0</v>
      </c>
      <c r="E25" s="15" t="n">
        <v>25977778.954</v>
      </c>
    </row>
    <row r="26">
      <c r="A26" s="16" t="inlineStr">
        <is>
          <t>Déficit/superávit vs dotação autorizada (LEI+ALT)</t>
        </is>
      </c>
      <c r="B26" s="7" t="n">
        <v>-6343012.754000001</v>
      </c>
      <c r="C26" s="7" t="n">
        <v>6741630.8</v>
      </c>
      <c r="D26" s="7" t="n">
        <v>0</v>
      </c>
      <c r="E26" s="15" t="n">
        <v>398618.0459999992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17850595.33</v>
      </c>
      <c r="C28" s="3" t="n">
        <v>699094</v>
      </c>
      <c r="D28" s="3" t="n">
        <v>0</v>
      </c>
      <c r="E28" s="15" t="n">
        <v>18549689.33</v>
      </c>
    </row>
    <row r="29">
      <c r="A29" s="2" t="inlineStr">
        <is>
          <t>Mediana mensal do liquidado (abr–ago)</t>
        </is>
      </c>
      <c r="B29" s="3" t="n">
        <v>1429659.06</v>
      </c>
      <c r="C29" s="3" t="n">
        <v>214580</v>
      </c>
      <c r="D29" s="3" t="n">
        <v>0</v>
      </c>
      <c r="E29" s="15" t="n">
        <v>1644239.06</v>
      </c>
    </row>
    <row r="30">
      <c r="A30" s="2" t="inlineStr">
        <is>
          <t>Projeção do liquidado até dez (acum + mediana × meses restantes)</t>
        </is>
      </c>
      <c r="B30" s="3" t="n">
        <v>23569231.57</v>
      </c>
      <c r="C30" s="3" t="n">
        <v>1557414</v>
      </c>
      <c r="D30" s="3" t="n">
        <v>0</v>
      </c>
      <c r="E30" s="15" t="n">
        <v>25126645.57</v>
      </c>
    </row>
    <row r="31">
      <c r="A31" s="16" t="inlineStr">
        <is>
          <t>Déficit/superávit vs dotação autorizada (LEI+ALT)</t>
        </is>
      </c>
      <c r="B31" s="7" t="n">
        <v>-5192834.57</v>
      </c>
      <c r="C31" s="7" t="n">
        <v>6442586</v>
      </c>
      <c r="D31" s="7" t="n">
        <v>0</v>
      </c>
      <c r="E31" s="15" t="n">
        <v>1249751.43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(R$ 26,4 mi) supera o empenhado de 2025 (R$ 22,8 mi), folga de R$ 3,6 mi frente ao exercício anterior.</t>
        </is>
      </c>
    </row>
    <row r="35" ht="18" customHeight="1">
      <c r="A35" s="18" t="inlineStr">
        <is>
          <t>2.  Ritmo de execução: 72,3%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(R$ 26,0 mi) fica abaixo da dotação — folga de R$ 0,4 mi.</t>
        </is>
      </c>
    </row>
    <row r="37" ht="33" customHeight="1">
      <c r="A37" s="18" t="inlineStr">
        <is>
          <t>4.  Comparação 3 (mediana): pela mediana dos 5 meses fechados (abr–ago), a projeção do liquidado até dez (R$ 25,1 mi) fica abaixo da dotação — folga de R$ 1,2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22823608.48</v>
      </c>
    </row>
    <row r="41">
      <c r="A41" s="20" t="inlineStr">
        <is>
          <t>Dotação Autorizada 2026</t>
        </is>
      </c>
      <c r="B41" s="21" t="n">
        <v>26376397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3732040.72</v>
      </c>
      <c r="C44" s="21" t="n">
        <v>26376397</v>
      </c>
    </row>
    <row r="45">
      <c r="A45" s="20" t="inlineStr">
        <is>
          <t>Fev</t>
        </is>
      </c>
      <c r="B45" s="21" t="n">
        <v>6731476.44</v>
      </c>
      <c r="C45" s="21" t="n">
        <v>26376397</v>
      </c>
    </row>
    <row r="46">
      <c r="A46" s="20" t="inlineStr">
        <is>
          <t>Mar</t>
        </is>
      </c>
      <c r="B46" s="21" t="n">
        <v>9264577.300000001</v>
      </c>
      <c r="C46" s="21" t="n">
        <v>26376397</v>
      </c>
    </row>
    <row r="47">
      <c r="A47" s="20" t="inlineStr">
        <is>
          <t>Abr</t>
        </is>
      </c>
      <c r="B47" s="21" t="n">
        <v>10694236.36</v>
      </c>
      <c r="C47" s="21" t="n">
        <v>26376397</v>
      </c>
    </row>
    <row r="48">
      <c r="A48" s="20" t="inlineStr">
        <is>
          <t>Mai</t>
        </is>
      </c>
      <c r="B48" s="21" t="n">
        <v>10976299.86</v>
      </c>
      <c r="C48" s="21" t="n">
        <v>26376397</v>
      </c>
    </row>
    <row r="49">
      <c r="A49" s="20" t="inlineStr">
        <is>
          <t>Jun</t>
        </is>
      </c>
      <c r="B49" s="21" t="n">
        <v>11246233.86</v>
      </c>
      <c r="C49" s="21" t="n">
        <v>26376397</v>
      </c>
    </row>
    <row r="50">
      <c r="A50" s="20" t="inlineStr">
        <is>
          <t>Jul</t>
        </is>
      </c>
      <c r="B50" s="21" t="n">
        <v>15625237.19</v>
      </c>
      <c r="C50" s="21" t="n">
        <v>26376397</v>
      </c>
    </row>
    <row r="51">
      <c r="A51" s="20" t="inlineStr">
        <is>
          <t>Ago</t>
        </is>
      </c>
      <c r="B51" s="21" t="n">
        <v>18549689.33</v>
      </c>
      <c r="C51" s="21" t="n">
        <v>26376397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17580074.72</v>
      </c>
    </row>
    <row r="54">
      <c r="A54" s="20" t="inlineStr">
        <is>
          <t>Dotação Autorizada 2026 (tesouro)</t>
        </is>
      </c>
      <c r="B54" s="21" t="n">
        <v>18376397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3732040.72</v>
      </c>
      <c r="C57" s="21" t="n">
        <v>18376397</v>
      </c>
    </row>
    <row r="58">
      <c r="A58" s="20" t="inlineStr">
        <is>
          <t>Fev</t>
        </is>
      </c>
      <c r="B58" s="21" t="n">
        <v>6731476.44</v>
      </c>
      <c r="C58" s="21" t="n">
        <v>18376397</v>
      </c>
    </row>
    <row r="59">
      <c r="A59" s="20" t="inlineStr">
        <is>
          <t>Mar</t>
        </is>
      </c>
      <c r="B59" s="21" t="n">
        <v>9264577.300000001</v>
      </c>
      <c r="C59" s="21" t="n">
        <v>18376397</v>
      </c>
    </row>
    <row r="60">
      <c r="A60" s="20" t="inlineStr">
        <is>
          <t>Abr</t>
        </is>
      </c>
      <c r="B60" s="21" t="n">
        <v>10694236.36</v>
      </c>
      <c r="C60" s="21" t="n">
        <v>18376397</v>
      </c>
    </row>
    <row r="61">
      <c r="A61" s="20" t="inlineStr">
        <is>
          <t>Mai</t>
        </is>
      </c>
      <c r="B61" s="21" t="n">
        <v>10761719.86</v>
      </c>
      <c r="C61" s="21" t="n">
        <v>18376397</v>
      </c>
    </row>
    <row r="62">
      <c r="A62" s="20" t="inlineStr">
        <is>
          <t>Jun</t>
        </is>
      </c>
      <c r="B62" s="21" t="n">
        <v>10761719.86</v>
      </c>
      <c r="C62" s="21" t="n">
        <v>18376397</v>
      </c>
    </row>
    <row r="63">
      <c r="A63" s="20" t="inlineStr">
        <is>
          <t>Jul</t>
        </is>
      </c>
      <c r="B63" s="21" t="n">
        <v>14926143.19</v>
      </c>
      <c r="C63" s="21" t="n">
        <v>18376397</v>
      </c>
    </row>
    <row r="64">
      <c r="A64" s="20" t="inlineStr">
        <is>
          <t>Ago</t>
        </is>
      </c>
      <c r="B64" s="21" t="n">
        <v>17850595.33</v>
      </c>
      <c r="C64" s="21" t="n">
        <v>18376397</v>
      </c>
    </row>
  </sheetData>
  <mergeCells count="5">
    <mergeCell ref="A34:E34"/>
    <mergeCell ref="A35:E35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08.245.6228.9073.0003 — FAS — Bloco Proteção Social Especial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158</t>
        </is>
      </c>
      <c r="D4" s="12" t="inlineStr">
        <is>
          <t>FONTE 183</t>
        </is>
      </c>
      <c r="E4" s="12" t="inlineStr">
        <is>
          <t>FONTE 358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37953676</v>
      </c>
      <c r="C6" s="3" t="n">
        <v>6300000</v>
      </c>
      <c r="D6" s="3" t="n">
        <v>0</v>
      </c>
      <c r="E6" s="3" t="n">
        <v>0</v>
      </c>
      <c r="F6" s="15" t="n">
        <v>44253676</v>
      </c>
    </row>
    <row r="7">
      <c r="A7" s="2" t="inlineStr">
        <is>
          <t>Alterações 2025</t>
        </is>
      </c>
      <c r="B7" s="3" t="n">
        <v>59649637</v>
      </c>
      <c r="C7" s="3" t="n">
        <v>-2661000</v>
      </c>
      <c r="D7" s="3" t="n">
        <v>952765</v>
      </c>
      <c r="E7" s="3" t="n">
        <v>5447175</v>
      </c>
      <c r="F7" s="15" t="n">
        <v>63388577</v>
      </c>
    </row>
    <row r="8">
      <c r="A8" s="2" t="inlineStr">
        <is>
          <t>Despesa autorizada 2025 (DESP AUT.)</t>
        </is>
      </c>
      <c r="B8" s="3" t="n">
        <v>97602850.61</v>
      </c>
      <c r="C8" s="3" t="n">
        <v>3639000</v>
      </c>
      <c r="D8" s="3" t="n">
        <v>952765</v>
      </c>
      <c r="E8" s="3" t="n">
        <v>5447175</v>
      </c>
      <c r="F8" s="15" t="n">
        <v>107641790.61</v>
      </c>
    </row>
    <row r="9">
      <c r="A9" s="16" t="inlineStr">
        <is>
          <t>Empenhado 2025</t>
        </is>
      </c>
      <c r="B9" s="7" t="n">
        <v>97602849.88999999</v>
      </c>
      <c r="C9" s="7" t="n">
        <v>3442401.67</v>
      </c>
      <c r="D9" s="7" t="n">
        <v>952765</v>
      </c>
      <c r="E9" s="7" t="n">
        <v>3650000</v>
      </c>
      <c r="F9" s="15" t="n">
        <v>105648016.56</v>
      </c>
    </row>
    <row r="10">
      <c r="A10" s="2" t="inlineStr">
        <is>
          <t>Liquidado 2025</t>
        </is>
      </c>
      <c r="B10" s="3" t="n">
        <v>97400197.27</v>
      </c>
      <c r="C10" s="3" t="n">
        <v>3253354.45</v>
      </c>
      <c r="D10" s="3" t="n">
        <v>846030.8199999999</v>
      </c>
      <c r="E10" s="3" t="n">
        <v>1625105.16</v>
      </c>
      <c r="F10" s="15" t="n">
        <v>103124687.7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70535400</v>
      </c>
      <c r="C12" s="3" t="n">
        <v>9000000</v>
      </c>
      <c r="D12" s="3" t="n">
        <v>0</v>
      </c>
      <c r="E12" s="3" t="n">
        <v>0</v>
      </c>
      <c r="F12" s="15" t="n">
        <v>79535400</v>
      </c>
    </row>
    <row r="13">
      <c r="A13" s="2" t="inlineStr">
        <is>
          <t>Alterações 2026</t>
        </is>
      </c>
      <c r="B13" s="3" t="n">
        <v>18477972</v>
      </c>
      <c r="C13" s="3" t="n">
        <v>0</v>
      </c>
      <c r="D13" s="3" t="n">
        <v>0</v>
      </c>
      <c r="E13" s="3" t="n">
        <v>0</v>
      </c>
      <c r="F13" s="15" t="n">
        <v>18477972</v>
      </c>
    </row>
    <row r="14">
      <c r="A14" s="16" t="inlineStr">
        <is>
          <t>Dotação autorizada 2026 (LEI + ALTERAÇÃO)</t>
        </is>
      </c>
      <c r="B14" s="7" t="n">
        <v>89013372</v>
      </c>
      <c r="C14" s="7" t="n">
        <v>9000000</v>
      </c>
      <c r="D14" s="7" t="n">
        <v>0</v>
      </c>
      <c r="E14" s="7" t="n">
        <v>0</v>
      </c>
      <c r="F14" s="15" t="n">
        <v>98013372</v>
      </c>
    </row>
    <row r="15">
      <c r="A15" s="2" t="inlineStr">
        <is>
          <t>Cota a liberar 2026</t>
        </is>
      </c>
      <c r="B15" s="3" t="n">
        <v>3700</v>
      </c>
      <c r="C15" s="3" t="n">
        <v>0</v>
      </c>
      <c r="D15" s="3" t="n">
        <v>0</v>
      </c>
      <c r="E15" s="3" t="n">
        <v>0</v>
      </c>
      <c r="F15" s="15" t="n">
        <v>3700</v>
      </c>
    </row>
    <row r="16">
      <c r="A16" s="2" t="inlineStr">
        <is>
          <t>Contingenciado 2026</t>
        </is>
      </c>
      <c r="B16" s="3" t="n">
        <v>3107</v>
      </c>
      <c r="C16" s="3" t="n">
        <v>0</v>
      </c>
      <c r="D16" s="3" t="n">
        <v>0</v>
      </c>
      <c r="E16" s="3" t="n">
        <v>0</v>
      </c>
      <c r="F16" s="15" t="n">
        <v>3107</v>
      </c>
    </row>
    <row r="17">
      <c r="A17" s="16" t="inlineStr">
        <is>
          <t>Despesa autorizada 2026 (DESP AUT.)</t>
        </is>
      </c>
      <c r="B17" s="7" t="n">
        <v>84792565</v>
      </c>
      <c r="C17" s="7" t="n">
        <v>9000000</v>
      </c>
      <c r="D17" s="7" t="n">
        <v>0</v>
      </c>
      <c r="E17" s="7" t="n">
        <v>0</v>
      </c>
      <c r="F17" s="15" t="n">
        <v>93792565</v>
      </c>
    </row>
    <row r="18">
      <c r="A18" s="16" t="inlineStr">
        <is>
          <t>Empenhado 2026 (jan–ago fechado)</t>
        </is>
      </c>
      <c r="B18" s="7" t="n">
        <v>84620124.88</v>
      </c>
      <c r="C18" s="7" t="n">
        <v>412266.61</v>
      </c>
      <c r="D18" s="7" t="n">
        <v>0</v>
      </c>
      <c r="E18" s="7" t="n">
        <v>0</v>
      </c>
      <c r="F18" s="15" t="n">
        <v>85032391.48999999</v>
      </c>
    </row>
    <row r="19">
      <c r="A19" s="2" t="inlineStr">
        <is>
          <t>Disponível 2026 (saldo)</t>
        </is>
      </c>
      <c r="B19" s="3" t="n">
        <v>172440.12</v>
      </c>
      <c r="C19" s="3" t="n">
        <v>8587733.390000001</v>
      </c>
      <c r="D19" s="3" t="n">
        <v>0</v>
      </c>
      <c r="E19" s="3" t="n">
        <v>0</v>
      </c>
      <c r="F19" s="15" t="n">
        <v>8760173.51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-8589477.889999986</v>
      </c>
      <c r="C21" s="7" t="n">
        <v>5557598.33</v>
      </c>
      <c r="D21" s="7" t="n">
        <v>-952765</v>
      </c>
      <c r="E21" s="7" t="n">
        <v>-3650000</v>
      </c>
      <c r="F21" s="15" t="n">
        <v>-7634644.559999986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81723519.52</v>
      </c>
      <c r="C23" s="3" t="n">
        <v>412266.61</v>
      </c>
      <c r="D23" s="3" t="n">
        <v>0</v>
      </c>
      <c r="E23" s="3" t="n">
        <v>0</v>
      </c>
      <c r="F23" s="15" t="n">
        <v>82135786.13</v>
      </c>
    </row>
    <row r="24">
      <c r="A24" s="2" t="inlineStr">
        <is>
          <t>Média mensal do liquidado (abr–ago)</t>
        </is>
      </c>
      <c r="B24" s="3" t="n">
        <v>9084777.718</v>
      </c>
      <c r="C24" s="3" t="n">
        <v>0</v>
      </c>
      <c r="D24" s="3" t="n">
        <v>0</v>
      </c>
      <c r="E24" s="3" t="n">
        <v>0</v>
      </c>
      <c r="F24" s="15" t="n">
        <v>9084777.718</v>
      </c>
    </row>
    <row r="25">
      <c r="A25" s="2" t="inlineStr">
        <is>
          <t>Projeção do liquidado até dez (acum + média × meses restantes)</t>
        </is>
      </c>
      <c r="B25" s="3" t="n">
        <v>118062630.392</v>
      </c>
      <c r="C25" s="3" t="n">
        <v>412266.61</v>
      </c>
      <c r="D25" s="3" t="n">
        <v>0</v>
      </c>
      <c r="E25" s="3" t="n">
        <v>0</v>
      </c>
      <c r="F25" s="15" t="n">
        <v>118474897.002</v>
      </c>
    </row>
    <row r="26">
      <c r="A26" s="16" t="inlineStr">
        <is>
          <t>Déficit/superávit vs dotação autorizada (LEI+ALT)</t>
        </is>
      </c>
      <c r="B26" s="7" t="n">
        <v>-29049258.39199999</v>
      </c>
      <c r="C26" s="7" t="n">
        <v>8587733.390000001</v>
      </c>
      <c r="D26" s="7" t="n">
        <v>0</v>
      </c>
      <c r="E26" s="7" t="n">
        <v>0</v>
      </c>
      <c r="F26" s="15" t="n">
        <v>-20461525.00199999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81723519.52</v>
      </c>
      <c r="C28" s="3" t="n">
        <v>412266.61</v>
      </c>
      <c r="D28" s="3" t="n">
        <v>0</v>
      </c>
      <c r="E28" s="3" t="n">
        <v>0</v>
      </c>
      <c r="F28" s="15" t="n">
        <v>82135786.13</v>
      </c>
    </row>
    <row r="29">
      <c r="A29" s="2" t="inlineStr">
        <is>
          <t>Mediana mensal do liquidado (abr–ago)</t>
        </is>
      </c>
      <c r="B29" s="3" t="n">
        <v>8053822.08</v>
      </c>
      <c r="C29" s="3" t="n">
        <v>0</v>
      </c>
      <c r="D29" s="3" t="n">
        <v>0</v>
      </c>
      <c r="E29" s="3" t="n">
        <v>0</v>
      </c>
      <c r="F29" s="15" t="n">
        <v>8053822.08</v>
      </c>
    </row>
    <row r="30">
      <c r="A30" s="2" t="inlineStr">
        <is>
          <t>Projeção do liquidado até dez (acum + mediana × meses restantes)</t>
        </is>
      </c>
      <c r="B30" s="3" t="n">
        <v>113938807.84</v>
      </c>
      <c r="C30" s="3" t="n">
        <v>412266.61</v>
      </c>
      <c r="D30" s="3" t="n">
        <v>0</v>
      </c>
      <c r="E30" s="3" t="n">
        <v>0</v>
      </c>
      <c r="F30" s="15" t="n">
        <v>114351074.45</v>
      </c>
    </row>
    <row r="31">
      <c r="A31" s="16" t="inlineStr">
        <is>
          <t>Déficit/superávit vs dotação autorizada (LEI+ALT)</t>
        </is>
      </c>
      <c r="B31" s="7" t="n">
        <v>-24925435.84</v>
      </c>
      <c r="C31" s="7" t="n">
        <v>8587733.390000001</v>
      </c>
      <c r="D31" s="7" t="n">
        <v>0</v>
      </c>
      <c r="E31" s="7" t="n">
        <v>0</v>
      </c>
      <c r="F31" s="15" t="n">
        <v>-16337702.45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(R$ 98,0 mi) é inferior ao empenhado de 2025 (R$ 105,6 mi), déficit potencial de R$ 7,6 mi caso a demanda repita o exercício anterior.</t>
        </is>
      </c>
    </row>
    <row r="35" ht="18" customHeight="1">
      <c r="A35" s="18" t="inlineStr">
        <is>
          <t>2.  Ritmo de execução: 90,7%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(R$ 118,5 mi) supera a dotação — déficit de R$ 20,5 mi.</t>
        </is>
      </c>
    </row>
    <row r="37" ht="33" customHeight="1">
      <c r="A37" s="18" t="inlineStr">
        <is>
          <t>4.  Comparação 3 (mediana): pela mediana dos 5 meses fechados (abr–ago), a projeção do liquidado até dez (R$ 114,4 mi) supera a dotação — déficit de R$ 16,3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105648016.56</v>
      </c>
    </row>
    <row r="41">
      <c r="A41" s="20" t="inlineStr">
        <is>
          <t>Dotação Autorizada 2026</t>
        </is>
      </c>
      <c r="B41" s="21" t="n">
        <v>98013372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9014755.199999999</v>
      </c>
      <c r="C44" s="21" t="n">
        <v>98013372</v>
      </c>
    </row>
    <row r="45">
      <c r="A45" s="20" t="inlineStr">
        <is>
          <t>Fev</t>
        </is>
      </c>
      <c r="B45" s="21" t="n">
        <v>12548902.28</v>
      </c>
      <c r="C45" s="21" t="n">
        <v>98013372</v>
      </c>
    </row>
    <row r="46">
      <c r="A46" s="20" t="inlineStr">
        <is>
          <t>Mar</t>
        </is>
      </c>
      <c r="B46" s="21" t="n">
        <v>36711897.54</v>
      </c>
      <c r="C46" s="21" t="n">
        <v>98013372</v>
      </c>
    </row>
    <row r="47">
      <c r="A47" s="20" t="inlineStr">
        <is>
          <t>Abr</t>
        </is>
      </c>
      <c r="B47" s="21" t="n">
        <v>37842413.9</v>
      </c>
      <c r="C47" s="21" t="n">
        <v>98013372</v>
      </c>
    </row>
    <row r="48">
      <c r="A48" s="20" t="inlineStr">
        <is>
          <t>Mai</t>
        </is>
      </c>
      <c r="B48" s="21" t="n">
        <v>45896235.98</v>
      </c>
      <c r="C48" s="21" t="n">
        <v>98013372</v>
      </c>
    </row>
    <row r="49">
      <c r="A49" s="20" t="inlineStr">
        <is>
          <t>Jun</t>
        </is>
      </c>
      <c r="B49" s="21" t="n">
        <v>45896235.98</v>
      </c>
      <c r="C49" s="21" t="n">
        <v>98013372</v>
      </c>
    </row>
    <row r="50">
      <c r="A50" s="20" t="inlineStr">
        <is>
          <t>Jul</t>
        </is>
      </c>
      <c r="B50" s="21" t="n">
        <v>62320682.97</v>
      </c>
      <c r="C50" s="21" t="n">
        <v>98013372</v>
      </c>
    </row>
    <row r="51">
      <c r="A51" s="20" t="inlineStr">
        <is>
          <t>Ago</t>
        </is>
      </c>
      <c r="B51" s="21" t="n">
        <v>82135786.13</v>
      </c>
      <c r="C51" s="21" t="n">
        <v>98013372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98555614.88999999</v>
      </c>
    </row>
    <row r="54">
      <c r="A54" s="20" t="inlineStr">
        <is>
          <t>Dotação Autorizada 2026 (tesouro)</t>
        </is>
      </c>
      <c r="B54" s="21" t="n">
        <v>89013372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9014755.199999999</v>
      </c>
      <c r="C57" s="21" t="n">
        <v>89013372</v>
      </c>
    </row>
    <row r="58">
      <c r="A58" s="20" t="inlineStr">
        <is>
          <t>Fev</t>
        </is>
      </c>
      <c r="B58" s="21" t="n">
        <v>12548902.28</v>
      </c>
      <c r="C58" s="21" t="n">
        <v>89013372</v>
      </c>
    </row>
    <row r="59">
      <c r="A59" s="20" t="inlineStr">
        <is>
          <t>Mar</t>
        </is>
      </c>
      <c r="B59" s="21" t="n">
        <v>36299630.93</v>
      </c>
      <c r="C59" s="21" t="n">
        <v>89013372</v>
      </c>
    </row>
    <row r="60">
      <c r="A60" s="20" t="inlineStr">
        <is>
          <t>Abr</t>
        </is>
      </c>
      <c r="B60" s="21" t="n">
        <v>37430147.29</v>
      </c>
      <c r="C60" s="21" t="n">
        <v>89013372</v>
      </c>
    </row>
    <row r="61">
      <c r="A61" s="20" t="inlineStr">
        <is>
          <t>Mai</t>
        </is>
      </c>
      <c r="B61" s="21" t="n">
        <v>45483969.37</v>
      </c>
      <c r="C61" s="21" t="n">
        <v>89013372</v>
      </c>
    </row>
    <row r="62">
      <c r="A62" s="20" t="inlineStr">
        <is>
          <t>Jun</t>
        </is>
      </c>
      <c r="B62" s="21" t="n">
        <v>45483969.37</v>
      </c>
      <c r="C62" s="21" t="n">
        <v>89013372</v>
      </c>
    </row>
    <row r="63">
      <c r="A63" s="20" t="inlineStr">
        <is>
          <t>Jul</t>
        </is>
      </c>
      <c r="B63" s="21" t="n">
        <v>61908416.36</v>
      </c>
      <c r="C63" s="21" t="n">
        <v>89013372</v>
      </c>
    </row>
    <row r="64">
      <c r="A64" s="20" t="inlineStr">
        <is>
          <t>Ago</t>
        </is>
      </c>
      <c r="B64" s="21" t="n">
        <v>81723519.52</v>
      </c>
      <c r="C64" s="21" t="n">
        <v>89013372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08.244.6228.4162.0008 — FCEP — Transferência de Renda (DF Social)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83629274</v>
      </c>
      <c r="C6" s="3" t="n">
        <v>0</v>
      </c>
      <c r="D6" s="3" t="n">
        <v>0</v>
      </c>
      <c r="E6" s="3" t="n">
        <v>0</v>
      </c>
      <c r="F6" s="15" t="n">
        <v>83629274</v>
      </c>
    </row>
    <row r="7">
      <c r="A7" s="2" t="inlineStr">
        <is>
          <t>Alterações 2025</t>
        </is>
      </c>
      <c r="B7" s="3" t="n">
        <v>0</v>
      </c>
      <c r="C7" s="3" t="n">
        <v>10500000</v>
      </c>
      <c r="D7" s="3" t="n">
        <v>10593100</v>
      </c>
      <c r="E7" s="3" t="n">
        <v>10314218</v>
      </c>
      <c r="F7" s="15" t="n">
        <v>31407318</v>
      </c>
    </row>
    <row r="8">
      <c r="A8" s="2" t="inlineStr">
        <is>
          <t>Despesa autorizada 2025 (DESP AUT.)</t>
        </is>
      </c>
      <c r="B8" s="3" t="n">
        <v>83629274</v>
      </c>
      <c r="C8" s="3" t="n">
        <v>10500000</v>
      </c>
      <c r="D8" s="3" t="n">
        <v>10593100</v>
      </c>
      <c r="E8" s="3" t="n">
        <v>10314218</v>
      </c>
      <c r="F8" s="15" t="n">
        <v>115036592</v>
      </c>
    </row>
    <row r="9">
      <c r="A9" s="16" t="inlineStr">
        <is>
          <t>Empenhado 2025</t>
        </is>
      </c>
      <c r="B9" s="7" t="n">
        <v>83629274</v>
      </c>
      <c r="C9" s="7" t="n">
        <v>10379580</v>
      </c>
      <c r="D9" s="7" t="n">
        <v>10476275</v>
      </c>
      <c r="E9" s="7" t="n">
        <v>10314218</v>
      </c>
      <c r="F9" s="15" t="n">
        <v>114799347</v>
      </c>
    </row>
    <row r="10">
      <c r="A10" s="2" t="inlineStr">
        <is>
          <t>Liquidado 2025</t>
        </is>
      </c>
      <c r="B10" s="3" t="n">
        <v>83452392</v>
      </c>
      <c r="C10" s="3" t="n">
        <v>10379580</v>
      </c>
      <c r="D10" s="3" t="n">
        <v>10476275</v>
      </c>
      <c r="E10" s="3" t="n">
        <v>10314218</v>
      </c>
      <c r="F10" s="15" t="n">
        <v>114622465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103838547</v>
      </c>
      <c r="C12" s="3" t="n">
        <v>0</v>
      </c>
      <c r="D12" s="3" t="n">
        <v>0</v>
      </c>
      <c r="E12" s="3" t="n">
        <v>0</v>
      </c>
      <c r="F12" s="15" t="n">
        <v>103838547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15" t="n">
        <v>0</v>
      </c>
    </row>
    <row r="14">
      <c r="A14" s="16" t="inlineStr">
        <is>
          <t>Dotação autorizada 2026 (LEI + ALTERAÇÃO)</t>
        </is>
      </c>
      <c r="B14" s="7" t="n">
        <v>103838547</v>
      </c>
      <c r="C14" s="7" t="n">
        <v>0</v>
      </c>
      <c r="D14" s="7" t="n">
        <v>0</v>
      </c>
      <c r="E14" s="7" t="n">
        <v>0</v>
      </c>
      <c r="F14" s="15" t="n">
        <v>103838547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103838547</v>
      </c>
      <c r="C17" s="7" t="n">
        <v>0</v>
      </c>
      <c r="D17" s="7" t="n">
        <v>0</v>
      </c>
      <c r="E17" s="7" t="n">
        <v>0</v>
      </c>
      <c r="F17" s="15" t="n">
        <v>103838547</v>
      </c>
    </row>
    <row r="18">
      <c r="A18" s="16" t="inlineStr">
        <is>
          <t>Empenhado 2026 (jan–ago fechado)</t>
        </is>
      </c>
      <c r="B18" s="7" t="n">
        <v>103838547</v>
      </c>
      <c r="C18" s="7" t="n">
        <v>0</v>
      </c>
      <c r="D18" s="7" t="n">
        <v>0</v>
      </c>
      <c r="E18" s="7" t="n">
        <v>0</v>
      </c>
      <c r="F18" s="15" t="n">
        <v>103838547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20209273</v>
      </c>
      <c r="C21" s="7" t="n">
        <v>-10379580</v>
      </c>
      <c r="D21" s="7" t="n">
        <v>-10476275</v>
      </c>
      <c r="E21" s="7" t="n">
        <v>-10314218</v>
      </c>
      <c r="F21" s="15" t="n">
        <v>-10960800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94177000</v>
      </c>
      <c r="C23" s="3" t="n">
        <v>0</v>
      </c>
      <c r="D23" s="3" t="n">
        <v>0</v>
      </c>
      <c r="E23" s="3" t="n">
        <v>0</v>
      </c>
      <c r="F23" s="15" t="n">
        <v>94177000</v>
      </c>
    </row>
    <row r="24">
      <c r="A24" s="2" t="inlineStr">
        <is>
          <t>Média mensal do liquidado (abr–ago)</t>
        </is>
      </c>
      <c r="B24" s="3" t="n">
        <v>10469680</v>
      </c>
      <c r="C24" s="3" t="n">
        <v>0</v>
      </c>
      <c r="D24" s="3" t="n">
        <v>0</v>
      </c>
      <c r="E24" s="3" t="n">
        <v>0</v>
      </c>
      <c r="F24" s="15" t="n">
        <v>10469680</v>
      </c>
    </row>
    <row r="25">
      <c r="A25" s="2" t="inlineStr">
        <is>
          <t>Projeção do liquidado até dez (acum + média × meses restantes)</t>
        </is>
      </c>
      <c r="B25" s="3" t="n">
        <v>136055720</v>
      </c>
      <c r="C25" s="3" t="n">
        <v>0</v>
      </c>
      <c r="D25" s="3" t="n">
        <v>0</v>
      </c>
      <c r="E25" s="3" t="n">
        <v>0</v>
      </c>
      <c r="F25" s="15" t="n">
        <v>136055720</v>
      </c>
    </row>
    <row r="26">
      <c r="A26" s="16" t="inlineStr">
        <is>
          <t>Déficit/superávit vs dotação autorizada (LEI+ALT)</t>
        </is>
      </c>
      <c r="B26" s="7" t="n">
        <v>-32217173</v>
      </c>
      <c r="C26" s="7" t="n">
        <v>0</v>
      </c>
      <c r="D26" s="7" t="n">
        <v>0</v>
      </c>
      <c r="E26" s="7" t="n">
        <v>0</v>
      </c>
      <c r="F26" s="15" t="n">
        <v>-32217173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94177000</v>
      </c>
      <c r="C28" s="3" t="n">
        <v>0</v>
      </c>
      <c r="D28" s="3" t="n">
        <v>0</v>
      </c>
      <c r="E28" s="3" t="n">
        <v>0</v>
      </c>
      <c r="F28" s="15" t="n">
        <v>94177000</v>
      </c>
    </row>
    <row r="29">
      <c r="A29" s="2" t="inlineStr">
        <is>
          <t>Mediana mensal do liquidado (abr–ago)</t>
        </is>
      </c>
      <c r="B29" s="3" t="n">
        <v>10468110</v>
      </c>
      <c r="C29" s="3" t="n">
        <v>0</v>
      </c>
      <c r="D29" s="3" t="n">
        <v>0</v>
      </c>
      <c r="E29" s="3" t="n">
        <v>0</v>
      </c>
      <c r="F29" s="15" t="n">
        <v>10468110</v>
      </c>
    </row>
    <row r="30">
      <c r="A30" s="2" t="inlineStr">
        <is>
          <t>Projeção do liquidado até dez (acum + mediana × meses restantes)</t>
        </is>
      </c>
      <c r="B30" s="3" t="n">
        <v>136049440</v>
      </c>
      <c r="C30" s="3" t="n">
        <v>0</v>
      </c>
      <c r="D30" s="3" t="n">
        <v>0</v>
      </c>
      <c r="E30" s="3" t="n">
        <v>0</v>
      </c>
      <c r="F30" s="15" t="n">
        <v>136049440</v>
      </c>
    </row>
    <row r="31">
      <c r="A31" s="16" t="inlineStr">
        <is>
          <t>Déficit/superávit vs dotação autorizada (LEI+ALT)</t>
        </is>
      </c>
      <c r="B31" s="7" t="n">
        <v>-32210893</v>
      </c>
      <c r="C31" s="7" t="n">
        <v>0</v>
      </c>
      <c r="D31" s="7" t="n">
        <v>0</v>
      </c>
      <c r="E31" s="7" t="n">
        <v>0</v>
      </c>
      <c r="F31" s="15" t="n">
        <v>-32210893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(R$ 103,8 mi) é inferior ao empenhado de 2025 (R$ 114,8 mi), déficit potencial de R$ 11,0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(R$ 136,1 mi) supera a dotação — déficit de R$ 32,2 mi.</t>
        </is>
      </c>
    </row>
    <row r="37" ht="33" customHeight="1">
      <c r="A37" s="18" t="inlineStr">
        <is>
          <t>4.  Comparação 3 (mediana): pela mediana dos 5 meses fechados (abr–ago), a projeção do liquidado até dez (R$ 136,0 mi) supera a dotação — déficit de R$ 32,2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114799347</v>
      </c>
    </row>
    <row r="41">
      <c r="A41" s="20" t="inlineStr">
        <is>
          <t>Dotação Autorizada 2026</t>
        </is>
      </c>
      <c r="B41" s="21" t="n">
        <v>103838547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20881940</v>
      </c>
      <c r="C44" s="21" t="n">
        <v>103838547</v>
      </c>
    </row>
    <row r="45">
      <c r="A45" s="20" t="inlineStr">
        <is>
          <t>Fev</t>
        </is>
      </c>
      <c r="B45" s="21" t="n">
        <v>31340480</v>
      </c>
      <c r="C45" s="21" t="n">
        <v>103838547</v>
      </c>
    </row>
    <row r="46">
      <c r="A46" s="20" t="inlineStr">
        <is>
          <t>Mar</t>
        </is>
      </c>
      <c r="B46" s="21" t="n">
        <v>41828600</v>
      </c>
      <c r="C46" s="21" t="n">
        <v>103838547</v>
      </c>
    </row>
    <row r="47">
      <c r="A47" s="20" t="inlineStr">
        <is>
          <t>Abr</t>
        </is>
      </c>
      <c r="B47" s="21" t="n">
        <v>52300430</v>
      </c>
      <c r="C47" s="21" t="n">
        <v>103838547</v>
      </c>
    </row>
    <row r="48">
      <c r="A48" s="20" t="inlineStr">
        <is>
          <t>Mai</t>
        </is>
      </c>
      <c r="B48" s="21" t="n">
        <v>62758850</v>
      </c>
      <c r="C48" s="21" t="n">
        <v>103838547</v>
      </c>
    </row>
    <row r="49">
      <c r="A49" s="20" t="inlineStr">
        <is>
          <t>Jun</t>
        </is>
      </c>
      <c r="B49" s="21" t="n">
        <v>73226960</v>
      </c>
      <c r="C49" s="21" t="n">
        <v>103838547</v>
      </c>
    </row>
    <row r="50">
      <c r="A50" s="20" t="inlineStr">
        <is>
          <t>Jul</t>
        </is>
      </c>
      <c r="B50" s="21" t="n">
        <v>83690670</v>
      </c>
      <c r="C50" s="21" t="n">
        <v>103838547</v>
      </c>
    </row>
    <row r="51">
      <c r="A51" s="20" t="inlineStr">
        <is>
          <t>Ago</t>
        </is>
      </c>
      <c r="B51" s="21" t="n">
        <v>94177000</v>
      </c>
      <c r="C51" s="21" t="n">
        <v>103838547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114799347</v>
      </c>
    </row>
    <row r="54">
      <c r="A54" s="20" t="inlineStr">
        <is>
          <t>Dotação Autorizada 2026 (tesouro)</t>
        </is>
      </c>
      <c r="B54" s="21" t="n">
        <v>103838547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20881940</v>
      </c>
      <c r="C57" s="21" t="n">
        <v>103838547</v>
      </c>
    </row>
    <row r="58">
      <c r="A58" s="20" t="inlineStr">
        <is>
          <t>Fev</t>
        </is>
      </c>
      <c r="B58" s="21" t="n">
        <v>31340480</v>
      </c>
      <c r="C58" s="21" t="n">
        <v>103838547</v>
      </c>
    </row>
    <row r="59">
      <c r="A59" s="20" t="inlineStr">
        <is>
          <t>Mar</t>
        </is>
      </c>
      <c r="B59" s="21" t="n">
        <v>41828600</v>
      </c>
      <c r="C59" s="21" t="n">
        <v>103838547</v>
      </c>
    </row>
    <row r="60">
      <c r="A60" s="20" t="inlineStr">
        <is>
          <t>Abr</t>
        </is>
      </c>
      <c r="B60" s="21" t="n">
        <v>52300430</v>
      </c>
      <c r="C60" s="21" t="n">
        <v>103838547</v>
      </c>
    </row>
    <row r="61">
      <c r="A61" s="20" t="inlineStr">
        <is>
          <t>Mai</t>
        </is>
      </c>
      <c r="B61" s="21" t="n">
        <v>62758850</v>
      </c>
      <c r="C61" s="21" t="n">
        <v>103838547</v>
      </c>
    </row>
    <row r="62">
      <c r="A62" s="20" t="inlineStr">
        <is>
          <t>Jun</t>
        </is>
      </c>
      <c r="B62" s="21" t="n">
        <v>73226960</v>
      </c>
      <c r="C62" s="21" t="n">
        <v>103838547</v>
      </c>
    </row>
    <row r="63">
      <c r="A63" s="20" t="inlineStr">
        <is>
          <t>Jul</t>
        </is>
      </c>
      <c r="B63" s="21" t="n">
        <v>83690670</v>
      </c>
      <c r="C63" s="21" t="n">
        <v>103838547</v>
      </c>
    </row>
    <row r="64">
      <c r="A64" s="20" t="inlineStr">
        <is>
          <t>Ago</t>
        </is>
      </c>
      <c r="B64" s="21" t="n">
        <v>94177000</v>
      </c>
      <c r="C64" s="21" t="n">
        <v>103838547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9" t="inlineStr">
        <is>
          <t>10.302.6202.4206.0002 — FSDF — Contratos de Gestão HCB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138</t>
        </is>
      </c>
      <c r="D4" s="12" t="inlineStr">
        <is>
          <t>FONTE 335</t>
        </is>
      </c>
      <c r="E4" s="12" t="inlineStr">
        <is>
          <t>FONTE 338</t>
        </is>
      </c>
      <c r="F4" s="12" t="inlineStr">
        <is>
          <t>FONTE 738</t>
        </is>
      </c>
      <c r="G4" s="12" t="inlineStr">
        <is>
          <t>FONTE 739</t>
        </is>
      </c>
      <c r="H4" s="12" t="inlineStr">
        <is>
          <t>FONTE 740</t>
        </is>
      </c>
      <c r="I4" s="12" t="inlineStr">
        <is>
          <t>FONTE 838</t>
        </is>
      </c>
      <c r="J4" s="12" t="inlineStr">
        <is>
          <t>FONTE 839</t>
        </is>
      </c>
      <c r="K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</row>
    <row r="6">
      <c r="A6" s="2" t="inlineStr">
        <is>
          <t>Dotação inicial (LEI) 2025</t>
        </is>
      </c>
      <c r="B6" s="3" t="n">
        <v>212910653</v>
      </c>
      <c r="C6" s="3" t="n">
        <v>7555485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5" t="n">
        <v>220466138</v>
      </c>
    </row>
    <row r="7">
      <c r="A7" s="2" t="inlineStr">
        <is>
          <t>Alterações 2025</t>
        </is>
      </c>
      <c r="B7" s="3" t="n">
        <v>-4946073</v>
      </c>
      <c r="C7" s="3" t="n">
        <v>0</v>
      </c>
      <c r="D7" s="3" t="n">
        <v>11091232</v>
      </c>
      <c r="E7" s="3" t="n">
        <v>2265894</v>
      </c>
      <c r="F7" s="3" t="n">
        <v>5647775</v>
      </c>
      <c r="G7" s="3" t="n">
        <v>0</v>
      </c>
      <c r="H7" s="3" t="n">
        <v>0</v>
      </c>
      <c r="I7" s="3" t="n">
        <v>9926701</v>
      </c>
      <c r="J7" s="3" t="n">
        <v>25365416</v>
      </c>
      <c r="K7" s="15" t="n">
        <v>49350945</v>
      </c>
    </row>
    <row r="8">
      <c r="A8" s="2" t="inlineStr">
        <is>
          <t>Despesa autorizada 2025 (DESP AUT.)</t>
        </is>
      </c>
      <c r="B8" s="3" t="n">
        <v>207964579.22</v>
      </c>
      <c r="C8" s="3" t="n">
        <v>7555485</v>
      </c>
      <c r="D8" s="3" t="n">
        <v>11091232</v>
      </c>
      <c r="E8" s="3" t="n">
        <v>2265894</v>
      </c>
      <c r="F8" s="3" t="n">
        <v>5647775</v>
      </c>
      <c r="G8" s="3" t="n">
        <v>0</v>
      </c>
      <c r="H8" s="3" t="n">
        <v>0</v>
      </c>
      <c r="I8" s="3" t="n">
        <v>9926701</v>
      </c>
      <c r="J8" s="3" t="n">
        <v>25365416</v>
      </c>
      <c r="K8" s="15" t="n">
        <v>269817082.22</v>
      </c>
    </row>
    <row r="9">
      <c r="A9" s="16" t="inlineStr">
        <is>
          <t>Empenhado 2025</t>
        </is>
      </c>
      <c r="B9" s="7" t="n">
        <v>207964578.8</v>
      </c>
      <c r="C9" s="7" t="n">
        <v>7555485</v>
      </c>
      <c r="D9" s="7" t="n">
        <v>6668485.95</v>
      </c>
      <c r="E9" s="7" t="n">
        <v>1891748.23</v>
      </c>
      <c r="F9" s="7" t="n">
        <v>5647775</v>
      </c>
      <c r="G9" s="7" t="n">
        <v>0</v>
      </c>
      <c r="H9" s="7" t="n">
        <v>0</v>
      </c>
      <c r="I9" s="7" t="n">
        <v>5225714.38</v>
      </c>
      <c r="J9" s="7" t="n">
        <v>12567711.95</v>
      </c>
      <c r="K9" s="15" t="n">
        <v>247521499.31</v>
      </c>
    </row>
    <row r="10">
      <c r="A10" s="2" t="inlineStr">
        <is>
          <t>Liquidado 2025</t>
        </is>
      </c>
      <c r="B10" s="3" t="n">
        <v>206472813.51</v>
      </c>
      <c r="C10" s="3" t="n">
        <v>7555485</v>
      </c>
      <c r="D10" s="3" t="n">
        <v>5745528.75</v>
      </c>
      <c r="E10" s="3" t="n">
        <v>1891748.23</v>
      </c>
      <c r="F10" s="3" t="n">
        <v>4675257</v>
      </c>
      <c r="G10" s="3" t="n">
        <v>0</v>
      </c>
      <c r="H10" s="3" t="n">
        <v>0</v>
      </c>
      <c r="I10" s="3" t="n">
        <v>5137753.38</v>
      </c>
      <c r="J10" s="3" t="n">
        <v>10005806.38</v>
      </c>
      <c r="K10" s="15" t="n">
        <v>241484392.25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>
      <c r="A12" s="2" t="inlineStr">
        <is>
          <t>Dotação inicial (LEI) 2026</t>
        </is>
      </c>
      <c r="B12" s="3" t="n">
        <v>115000000</v>
      </c>
      <c r="C12" s="3" t="n">
        <v>10060086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5" t="n">
        <v>125060086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4422746</v>
      </c>
      <c r="E13" s="3" t="n">
        <v>3080888</v>
      </c>
      <c r="F13" s="3" t="n">
        <v>0</v>
      </c>
      <c r="G13" s="3" t="n">
        <v>18079675</v>
      </c>
      <c r="H13" s="3" t="n">
        <v>400000</v>
      </c>
      <c r="I13" s="3" t="n">
        <v>3479683</v>
      </c>
      <c r="J13" s="3" t="n">
        <v>11239477</v>
      </c>
      <c r="K13" s="15" t="n">
        <v>40702469</v>
      </c>
    </row>
    <row r="14">
      <c r="A14" s="16" t="inlineStr">
        <is>
          <t>Dotação autorizada 2026 (LEI + ALTERAÇÃO)</t>
        </is>
      </c>
      <c r="B14" s="7" t="n">
        <v>115000000</v>
      </c>
      <c r="C14" s="7" t="n">
        <v>10060086</v>
      </c>
      <c r="D14" s="7" t="n">
        <v>4422746</v>
      </c>
      <c r="E14" s="7" t="n">
        <v>3080888</v>
      </c>
      <c r="F14" s="7" t="n">
        <v>0</v>
      </c>
      <c r="G14" s="7" t="n">
        <v>18079675</v>
      </c>
      <c r="H14" s="7" t="n">
        <v>400000</v>
      </c>
      <c r="I14" s="7" t="n">
        <v>3479683</v>
      </c>
      <c r="J14" s="7" t="n">
        <v>11239477</v>
      </c>
      <c r="K14" s="15" t="n">
        <v>165762555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15" t="n">
        <v>0</v>
      </c>
    </row>
    <row r="16">
      <c r="A16" s="2" t="inlineStr">
        <is>
          <t>Contingenciado 2026</t>
        </is>
      </c>
      <c r="B16" s="3" t="n">
        <v>2656134.76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15" t="n">
        <v>2656134.76</v>
      </c>
    </row>
    <row r="17">
      <c r="A17" s="16" t="inlineStr">
        <is>
          <t>Despesa autorizada 2026 (DESP AUT.)</t>
        </is>
      </c>
      <c r="B17" s="7" t="n">
        <v>112343865.24</v>
      </c>
      <c r="C17" s="7" t="n">
        <v>10060086</v>
      </c>
      <c r="D17" s="7" t="n">
        <v>4422746</v>
      </c>
      <c r="E17" s="7" t="n">
        <v>3080888</v>
      </c>
      <c r="F17" s="7" t="n">
        <v>0</v>
      </c>
      <c r="G17" s="7" t="n">
        <v>18079675</v>
      </c>
      <c r="H17" s="7" t="n">
        <v>400000</v>
      </c>
      <c r="I17" s="7" t="n">
        <v>3479683</v>
      </c>
      <c r="J17" s="7" t="n">
        <v>11239477</v>
      </c>
      <c r="K17" s="15" t="n">
        <v>163106420.24</v>
      </c>
    </row>
    <row r="18">
      <c r="A18" s="16" t="inlineStr">
        <is>
          <t>Empenhado 2026 (jan–ago fechado)</t>
        </is>
      </c>
      <c r="B18" s="7" t="n">
        <v>112343864.47</v>
      </c>
      <c r="C18" s="7" t="n">
        <v>10060086</v>
      </c>
      <c r="D18" s="7" t="n">
        <v>0</v>
      </c>
      <c r="E18" s="7" t="n">
        <v>3000000</v>
      </c>
      <c r="F18" s="7" t="n">
        <v>0</v>
      </c>
      <c r="G18" s="7" t="n">
        <v>559000</v>
      </c>
      <c r="H18" s="7" t="n">
        <v>0</v>
      </c>
      <c r="I18" s="7" t="n">
        <v>1706721</v>
      </c>
      <c r="J18" s="7" t="n">
        <v>0</v>
      </c>
      <c r="K18" s="15" t="n">
        <v>127669671.47</v>
      </c>
    </row>
    <row r="19">
      <c r="A19" s="2" t="inlineStr">
        <is>
          <t>Disponível 2026 (saldo)</t>
        </is>
      </c>
      <c r="B19" s="3" t="n">
        <v>0.77</v>
      </c>
      <c r="C19" s="3" t="n">
        <v>0</v>
      </c>
      <c r="D19" s="3" t="n">
        <v>4422746</v>
      </c>
      <c r="E19" s="3" t="n">
        <v>80888</v>
      </c>
      <c r="F19" s="3" t="n">
        <v>0</v>
      </c>
      <c r="G19" s="3" t="n">
        <v>17520675</v>
      </c>
      <c r="H19" s="3" t="n">
        <v>400000</v>
      </c>
      <c r="I19" s="3" t="n">
        <v>1772962</v>
      </c>
      <c r="J19" s="3" t="n">
        <v>11239477</v>
      </c>
      <c r="K19" s="15" t="n">
        <v>35436748.77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>
      <c r="A21" s="16" t="inlineStr">
        <is>
          <t>Déficit/superávit vs dotação autorizada (LEI+ALT)</t>
        </is>
      </c>
      <c r="B21" s="7" t="n">
        <v>-92964578.80000001</v>
      </c>
      <c r="C21" s="7" t="n">
        <v>2504601</v>
      </c>
      <c r="D21" s="7" t="n">
        <v>-2245739.95</v>
      </c>
      <c r="E21" s="7" t="n">
        <v>1189139.77</v>
      </c>
      <c r="F21" s="7" t="n">
        <v>-5647775</v>
      </c>
      <c r="G21" s="7" t="n">
        <v>18079675</v>
      </c>
      <c r="H21" s="7" t="n">
        <v>400000</v>
      </c>
      <c r="I21" s="7" t="n">
        <v>-1746031.38</v>
      </c>
      <c r="J21" s="7" t="n">
        <v>-1328234.949999999</v>
      </c>
      <c r="K21" s="15" t="n">
        <v>-81758944.31000002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>
      <c r="A23" s="2" t="inlineStr">
        <is>
          <t>Liquidado acumulado 2026 (jan–ago)</t>
        </is>
      </c>
      <c r="B23" s="3" t="n">
        <v>111622617.54</v>
      </c>
      <c r="C23" s="3" t="n">
        <v>10060086</v>
      </c>
      <c r="D23" s="3" t="n">
        <v>0</v>
      </c>
      <c r="E23" s="3" t="n">
        <v>3000000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15" t="n">
        <v>124682703.54</v>
      </c>
    </row>
    <row r="24">
      <c r="A24" s="2" t="inlineStr">
        <is>
          <t>Média mensal do liquidado (abr–ago)</t>
        </is>
      </c>
      <c r="B24" s="3" t="n">
        <v>11822370.918</v>
      </c>
      <c r="C24" s="3" t="n">
        <v>0</v>
      </c>
      <c r="D24" s="3" t="n">
        <v>0</v>
      </c>
      <c r="E24" s="3" t="n">
        <v>600000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15" t="n">
        <v>12422370.918</v>
      </c>
    </row>
    <row r="25">
      <c r="A25" s="2" t="inlineStr">
        <is>
          <t>Projeção do liquidado até dez (acum + média × meses restantes)</t>
        </is>
      </c>
      <c r="B25" s="3" t="n">
        <v>158912101.212</v>
      </c>
      <c r="C25" s="3" t="n">
        <v>10060086</v>
      </c>
      <c r="D25" s="3" t="n">
        <v>0</v>
      </c>
      <c r="E25" s="3" t="n">
        <v>5400000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15" t="n">
        <v>174372187.212</v>
      </c>
    </row>
    <row r="26">
      <c r="A26" s="16" t="inlineStr">
        <is>
          <t>Déficit/superávit vs dotação autorizada (LEI+ALT)</t>
        </is>
      </c>
      <c r="B26" s="7" t="n">
        <v>-43912101.21200001</v>
      </c>
      <c r="C26" s="7" t="n">
        <v>0</v>
      </c>
      <c r="D26" s="7" t="n">
        <v>4422746</v>
      </c>
      <c r="E26" s="7" t="n">
        <v>-2319112</v>
      </c>
      <c r="F26" s="7" t="n">
        <v>0</v>
      </c>
      <c r="G26" s="7" t="n">
        <v>18079675</v>
      </c>
      <c r="H26" s="7" t="n">
        <v>400000</v>
      </c>
      <c r="I26" s="7" t="n">
        <v>3479683</v>
      </c>
      <c r="J26" s="7" t="n">
        <v>11239477</v>
      </c>
      <c r="K26" s="15" t="n">
        <v>-8609632.212000012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</row>
    <row r="28">
      <c r="A28" s="2" t="inlineStr">
        <is>
          <t>Liquidado acumulado 2026 (jan–ago)</t>
        </is>
      </c>
      <c r="B28" s="3" t="n">
        <v>111622617.54</v>
      </c>
      <c r="C28" s="3" t="n">
        <v>10060086</v>
      </c>
      <c r="D28" s="3" t="n">
        <v>0</v>
      </c>
      <c r="E28" s="3" t="n">
        <v>3000000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15" t="n">
        <v>124682703.54</v>
      </c>
    </row>
    <row r="29">
      <c r="A29" s="2" t="inlineStr">
        <is>
          <t>Mediana mensal do liquidado (abr–ago)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15" t="n">
        <v>0</v>
      </c>
    </row>
    <row r="30">
      <c r="A30" s="2" t="inlineStr">
        <is>
          <t>Projeção do liquidado até dez (acum + mediana × meses restantes)</t>
        </is>
      </c>
      <c r="B30" s="3" t="n">
        <v>111622617.54</v>
      </c>
      <c r="C30" s="3" t="n">
        <v>10060086</v>
      </c>
      <c r="D30" s="3" t="n">
        <v>0</v>
      </c>
      <c r="E30" s="3" t="n">
        <v>3000000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15" t="n">
        <v>124682703.54</v>
      </c>
    </row>
    <row r="31">
      <c r="A31" s="16" t="inlineStr">
        <is>
          <t>Déficit/superávit vs dotação autorizada (LEI+ALT)</t>
        </is>
      </c>
      <c r="B31" s="7" t="n">
        <v>3377382.460000008</v>
      </c>
      <c r="C31" s="7" t="n">
        <v>0</v>
      </c>
      <c r="D31" s="7" t="n">
        <v>4422746</v>
      </c>
      <c r="E31" s="7" t="n">
        <v>80888</v>
      </c>
      <c r="F31" s="7" t="n">
        <v>0</v>
      </c>
      <c r="G31" s="7" t="n">
        <v>18079675</v>
      </c>
      <c r="H31" s="7" t="n">
        <v>400000</v>
      </c>
      <c r="I31" s="7" t="n">
        <v>3479683</v>
      </c>
      <c r="J31" s="7" t="n">
        <v>11239477</v>
      </c>
      <c r="K31" s="15" t="n">
        <v>41079851.46000001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(R$ 165,8 mi) é inferior ao empenhado de 2025 (R$ 247,5 mi), déficit potencial de R$ 81,8 mi caso a demanda repita o exercício anterior.</t>
        </is>
      </c>
    </row>
    <row r="35" ht="18" customHeight="1">
      <c r="A35" s="18" t="inlineStr">
        <is>
          <t>2.  Ritmo de execução: 78,3%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(R$ 174,4 mi) supera a dotação — déficit de R$ 8,6 mi.</t>
        </is>
      </c>
    </row>
    <row r="37" ht="33" customHeight="1">
      <c r="A37" s="18" t="inlineStr">
        <is>
          <t>4.  Comparação 3 (mediana): pela mediana dos 5 meses fechados (abr–ago), a projeção do liquidado até dez (R$ 124,7 mi) fica abaixo da dotação — folga de R$ 41,1 mi.</t>
        </is>
      </c>
    </row>
    <row r="38" ht="18" customHeight="1">
      <c r="A38" s="18" t="inlineStr">
        <is>
          <t>5.  Recursos retidos: R$ 2,7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247521499.31</v>
      </c>
    </row>
    <row r="42">
      <c r="A42" s="20" t="inlineStr">
        <is>
          <t>Dotação Autorizada 2026</t>
        </is>
      </c>
      <c r="B42" s="21" t="n">
        <v>165762555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0</v>
      </c>
      <c r="C45" s="21" t="n">
        <v>165762555</v>
      </c>
    </row>
    <row r="46">
      <c r="A46" s="20" t="inlineStr">
        <is>
          <t>Fev</t>
        </is>
      </c>
      <c r="B46" s="21" t="n">
        <v>19587511.5</v>
      </c>
      <c r="C46" s="21" t="n">
        <v>165762555</v>
      </c>
    </row>
    <row r="47">
      <c r="A47" s="20" t="inlineStr">
        <is>
          <t>Mar</t>
        </is>
      </c>
      <c r="B47" s="21" t="n">
        <v>62570848.95</v>
      </c>
      <c r="C47" s="21" t="n">
        <v>165762555</v>
      </c>
    </row>
    <row r="48">
      <c r="A48" s="20" t="inlineStr">
        <is>
          <t>Abr</t>
        </is>
      </c>
      <c r="B48" s="21" t="n">
        <v>62570848.95</v>
      </c>
      <c r="C48" s="21" t="n">
        <v>165762555</v>
      </c>
    </row>
    <row r="49">
      <c r="A49" s="20" t="inlineStr">
        <is>
          <t>Mai</t>
        </is>
      </c>
      <c r="B49" s="21" t="n">
        <v>92218067.31</v>
      </c>
      <c r="C49" s="21" t="n">
        <v>165762555</v>
      </c>
    </row>
    <row r="50">
      <c r="A50" s="20" t="inlineStr">
        <is>
          <t>Jun</t>
        </is>
      </c>
      <c r="B50" s="21" t="n">
        <v>92218067.31</v>
      </c>
      <c r="C50" s="21" t="n">
        <v>165762555</v>
      </c>
    </row>
    <row r="51">
      <c r="A51" s="20" t="inlineStr">
        <is>
          <t>Jul</t>
        </is>
      </c>
      <c r="B51" s="21" t="n">
        <v>92218067.31</v>
      </c>
      <c r="C51" s="21" t="n">
        <v>165762555</v>
      </c>
    </row>
    <row r="52">
      <c r="A52" s="20" t="inlineStr">
        <is>
          <t>Ago</t>
        </is>
      </c>
      <c r="B52" s="21" t="n">
        <v>124682703.54</v>
      </c>
      <c r="C52" s="21" t="n">
        <v>165762555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207964578.8</v>
      </c>
    </row>
    <row r="55">
      <c r="A55" s="20" t="inlineStr">
        <is>
          <t>Dotação Autorizada 2026 (tesouro)</t>
        </is>
      </c>
      <c r="B55" s="21" t="n">
        <v>115000000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0</v>
      </c>
      <c r="C58" s="21" t="n">
        <v>115000000</v>
      </c>
    </row>
    <row r="59">
      <c r="A59" s="20" t="inlineStr">
        <is>
          <t>Fev</t>
        </is>
      </c>
      <c r="B59" s="21" t="n">
        <v>11272957.2</v>
      </c>
      <c r="C59" s="21" t="n">
        <v>115000000</v>
      </c>
    </row>
    <row r="60">
      <c r="A60" s="20" t="inlineStr">
        <is>
          <t>Mar</t>
        </is>
      </c>
      <c r="B60" s="21" t="n">
        <v>52510762.95</v>
      </c>
      <c r="C60" s="21" t="n">
        <v>115000000</v>
      </c>
    </row>
    <row r="61">
      <c r="A61" s="20" t="inlineStr">
        <is>
          <t>Abr</t>
        </is>
      </c>
      <c r="B61" s="21" t="n">
        <v>52510762.95</v>
      </c>
      <c r="C61" s="21" t="n">
        <v>115000000</v>
      </c>
    </row>
    <row r="62">
      <c r="A62" s="20" t="inlineStr">
        <is>
          <t>Mai</t>
        </is>
      </c>
      <c r="B62" s="21" t="n">
        <v>79157981.31</v>
      </c>
      <c r="C62" s="21" t="n">
        <v>115000000</v>
      </c>
    </row>
    <row r="63">
      <c r="A63" s="20" t="inlineStr">
        <is>
          <t>Jun</t>
        </is>
      </c>
      <c r="B63" s="21" t="n">
        <v>79157981.31</v>
      </c>
      <c r="C63" s="21" t="n">
        <v>115000000</v>
      </c>
    </row>
    <row r="64">
      <c r="A64" s="20" t="inlineStr">
        <is>
          <t>Jul</t>
        </is>
      </c>
      <c r="B64" s="21" t="n">
        <v>79157981.31</v>
      </c>
      <c r="C64" s="21" t="n">
        <v>115000000</v>
      </c>
    </row>
    <row r="65">
      <c r="A65" s="20" t="inlineStr">
        <is>
          <t>Ago</t>
        </is>
      </c>
      <c r="B65" s="21" t="n">
        <v>111622617.54</v>
      </c>
      <c r="C65" s="21" t="n">
        <v>115000000</v>
      </c>
    </row>
  </sheetData>
  <mergeCells count="6">
    <mergeCell ref="A34:K34"/>
    <mergeCell ref="A35:K35"/>
    <mergeCell ref="A38:K38"/>
    <mergeCell ref="A33:K33"/>
    <mergeCell ref="A36:K36"/>
    <mergeCell ref="A37:K37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10.302.6202.4206.0001 — FSDF — Contratos de Gestão IGES-DF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138</t>
        </is>
      </c>
      <c r="E4" s="12" t="inlineStr">
        <is>
          <t>FONTE 338</t>
        </is>
      </c>
      <c r="F4" s="12" t="inlineStr">
        <is>
          <t>FONTE 740</t>
        </is>
      </c>
      <c r="G4" s="12" t="inlineStr">
        <is>
          <t>FONTE 838</t>
        </is>
      </c>
      <c r="H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</row>
    <row r="6">
      <c r="A6" s="2" t="inlineStr">
        <is>
          <t>Dotação inicial (LEI) 2025</t>
        </is>
      </c>
      <c r="B6" s="3" t="n">
        <v>875332704</v>
      </c>
      <c r="C6" s="3" t="n">
        <v>0</v>
      </c>
      <c r="D6" s="3" t="n">
        <v>36152992</v>
      </c>
      <c r="E6" s="3" t="n">
        <v>0</v>
      </c>
      <c r="F6" s="3" t="n">
        <v>0</v>
      </c>
      <c r="G6" s="3" t="n">
        <v>0</v>
      </c>
      <c r="H6" s="15" t="n">
        <v>911485696</v>
      </c>
    </row>
    <row r="7">
      <c r="A7" s="2" t="inlineStr">
        <is>
          <t>Alterações 2025</t>
        </is>
      </c>
      <c r="B7" s="3" t="n">
        <v>230575603</v>
      </c>
      <c r="C7" s="3" t="n">
        <v>0</v>
      </c>
      <c r="D7" s="3" t="n">
        <v>13306067</v>
      </c>
      <c r="E7" s="3" t="n">
        <v>33790807</v>
      </c>
      <c r="F7" s="3" t="n">
        <v>0</v>
      </c>
      <c r="G7" s="3" t="n">
        <v>6054018</v>
      </c>
      <c r="H7" s="15" t="n">
        <v>283726495</v>
      </c>
    </row>
    <row r="8">
      <c r="A8" s="2" t="inlineStr">
        <is>
          <t>Despesa autorizada 2025 (DESP AUT.)</t>
        </is>
      </c>
      <c r="B8" s="3" t="n">
        <v>1105908306.64</v>
      </c>
      <c r="C8" s="3" t="n">
        <v>0</v>
      </c>
      <c r="D8" s="3" t="n">
        <v>49459059</v>
      </c>
      <c r="E8" s="3" t="n">
        <v>33790807</v>
      </c>
      <c r="F8" s="3" t="n">
        <v>0</v>
      </c>
      <c r="G8" s="3" t="n">
        <v>6054018</v>
      </c>
      <c r="H8" s="15" t="n">
        <v>1195212190.64</v>
      </c>
    </row>
    <row r="9">
      <c r="A9" s="16" t="inlineStr">
        <is>
          <t>Empenhado 2025</t>
        </is>
      </c>
      <c r="B9" s="7" t="n">
        <v>1105908306.05</v>
      </c>
      <c r="C9" s="7" t="n">
        <v>0</v>
      </c>
      <c r="D9" s="7" t="n">
        <v>49459059</v>
      </c>
      <c r="E9" s="7" t="n">
        <v>33790790</v>
      </c>
      <c r="F9" s="7" t="n">
        <v>0</v>
      </c>
      <c r="G9" s="7" t="n">
        <v>6054018</v>
      </c>
      <c r="H9" s="15" t="n">
        <v>1195212173.05</v>
      </c>
    </row>
    <row r="10">
      <c r="A10" s="2" t="inlineStr">
        <is>
          <t>Liquidado 2025</t>
        </is>
      </c>
      <c r="B10" s="3" t="n">
        <v>1094505330.54</v>
      </c>
      <c r="C10" s="3" t="n">
        <v>0</v>
      </c>
      <c r="D10" s="3" t="n">
        <v>49459059</v>
      </c>
      <c r="E10" s="3" t="n">
        <v>33790790</v>
      </c>
      <c r="F10" s="3" t="n">
        <v>0</v>
      </c>
      <c r="G10" s="3" t="n">
        <v>6054018</v>
      </c>
      <c r="H10" s="15" t="n">
        <v>1183809197.54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</row>
    <row r="12">
      <c r="A12" s="2" t="inlineStr">
        <is>
          <t>Dotação inicial (LEI) 2026</t>
        </is>
      </c>
      <c r="B12" s="3" t="n">
        <v>475080897</v>
      </c>
      <c r="C12" s="3" t="n">
        <v>0</v>
      </c>
      <c r="D12" s="3" t="n">
        <v>43996644</v>
      </c>
      <c r="E12" s="3" t="n">
        <v>0</v>
      </c>
      <c r="F12" s="3" t="n">
        <v>0</v>
      </c>
      <c r="G12" s="3" t="n">
        <v>0</v>
      </c>
      <c r="H12" s="15" t="n">
        <v>519077541</v>
      </c>
    </row>
    <row r="13">
      <c r="A13" s="2" t="inlineStr">
        <is>
          <t>Alterações 2026</t>
        </is>
      </c>
      <c r="B13" s="3" t="n">
        <v>112681411</v>
      </c>
      <c r="C13" s="3" t="n">
        <v>104756073</v>
      </c>
      <c r="D13" s="3" t="n">
        <v>8316203</v>
      </c>
      <c r="E13" s="3" t="n">
        <v>30000000</v>
      </c>
      <c r="F13" s="3" t="n">
        <v>10238778</v>
      </c>
      <c r="G13" s="3" t="n">
        <v>71926</v>
      </c>
      <c r="H13" s="15" t="n">
        <v>266064391</v>
      </c>
    </row>
    <row r="14">
      <c r="A14" s="16" t="inlineStr">
        <is>
          <t>Dotação autorizada 2026 (LEI + ALTERAÇÃO)</t>
        </is>
      </c>
      <c r="B14" s="7" t="n">
        <v>587762308</v>
      </c>
      <c r="C14" s="7" t="n">
        <v>104756073</v>
      </c>
      <c r="D14" s="7" t="n">
        <v>52312847</v>
      </c>
      <c r="E14" s="7" t="n">
        <v>30000000</v>
      </c>
      <c r="F14" s="7" t="n">
        <v>10238778</v>
      </c>
      <c r="G14" s="7" t="n">
        <v>71926</v>
      </c>
      <c r="H14" s="15" t="n">
        <v>785141932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5" t="n">
        <v>0</v>
      </c>
    </row>
    <row r="16">
      <c r="A16" s="2" t="inlineStr">
        <is>
          <t>Contingenciado 2026</t>
        </is>
      </c>
      <c r="B16" s="3" t="n">
        <v>0.4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15" t="n">
        <v>0.4</v>
      </c>
    </row>
    <row r="17">
      <c r="A17" s="16" t="inlineStr">
        <is>
          <t>Despesa autorizada 2026 (DESP AUT.)</t>
        </is>
      </c>
      <c r="B17" s="7" t="n">
        <v>587762307.6</v>
      </c>
      <c r="C17" s="7" t="n">
        <v>104756073</v>
      </c>
      <c r="D17" s="7" t="n">
        <v>52312847</v>
      </c>
      <c r="E17" s="7" t="n">
        <v>30000000</v>
      </c>
      <c r="F17" s="7" t="n">
        <v>10238778</v>
      </c>
      <c r="G17" s="7" t="n">
        <v>71926</v>
      </c>
      <c r="H17" s="15" t="n">
        <v>785141931.6</v>
      </c>
    </row>
    <row r="18">
      <c r="A18" s="16" t="inlineStr">
        <is>
          <t>Empenhado 2026 (jan–ago fechado)</t>
        </is>
      </c>
      <c r="B18" s="7" t="n">
        <v>585702189.4400001</v>
      </c>
      <c r="C18" s="7" t="n">
        <v>104756073</v>
      </c>
      <c r="D18" s="7" t="n">
        <v>52302847</v>
      </c>
      <c r="E18" s="7" t="n">
        <v>30000000</v>
      </c>
      <c r="F18" s="7" t="n">
        <v>0</v>
      </c>
      <c r="G18" s="7" t="n">
        <v>0</v>
      </c>
      <c r="H18" s="15" t="n">
        <v>772761109.4400001</v>
      </c>
    </row>
    <row r="19">
      <c r="A19" s="2" t="inlineStr">
        <is>
          <t>Disponível 2026 (saldo)</t>
        </is>
      </c>
      <c r="B19" s="3" t="n">
        <v>2060118.16</v>
      </c>
      <c r="C19" s="3" t="n">
        <v>0</v>
      </c>
      <c r="D19" s="3" t="n">
        <v>10000</v>
      </c>
      <c r="E19" s="3" t="n">
        <v>0</v>
      </c>
      <c r="F19" s="3" t="n">
        <v>10238778</v>
      </c>
      <c r="G19" s="3" t="n">
        <v>71926</v>
      </c>
      <c r="H19" s="15" t="n">
        <v>12380822.16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</row>
    <row r="21">
      <c r="A21" s="16" t="inlineStr">
        <is>
          <t>Déficit/superávit vs dotação autorizada (LEI+ALT)</t>
        </is>
      </c>
      <c r="B21" s="7" t="n">
        <v>-518145998.05</v>
      </c>
      <c r="C21" s="7" t="n">
        <v>104756073</v>
      </c>
      <c r="D21" s="7" t="n">
        <v>2853788</v>
      </c>
      <c r="E21" s="7" t="n">
        <v>-3790790</v>
      </c>
      <c r="F21" s="7" t="n">
        <v>10238778</v>
      </c>
      <c r="G21" s="7" t="n">
        <v>-5982092</v>
      </c>
      <c r="H21" s="15" t="n">
        <v>-410070241.05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</row>
    <row r="23">
      <c r="A23" s="2" t="inlineStr">
        <is>
          <t>Liquidado acumulado 2026 (jan–ago)</t>
        </is>
      </c>
      <c r="B23" s="3" t="n">
        <v>517862544.36</v>
      </c>
      <c r="C23" s="3" t="n">
        <v>104756073</v>
      </c>
      <c r="D23" s="3" t="n">
        <v>52302847</v>
      </c>
      <c r="E23" s="3" t="n">
        <v>30000000</v>
      </c>
      <c r="F23" s="3" t="n">
        <v>0</v>
      </c>
      <c r="G23" s="3" t="n">
        <v>0</v>
      </c>
      <c r="H23" s="15" t="n">
        <v>704921464.36</v>
      </c>
    </row>
    <row r="24">
      <c r="A24" s="2" t="inlineStr">
        <is>
          <t>Média mensal do liquidado (abr–ago)</t>
        </is>
      </c>
      <c r="B24" s="3" t="n">
        <v>29887583.08</v>
      </c>
      <c r="C24" s="3" t="n">
        <v>20951214.6</v>
      </c>
      <c r="D24" s="3" t="n">
        <v>1663240.6</v>
      </c>
      <c r="E24" s="3" t="n">
        <v>6000000</v>
      </c>
      <c r="F24" s="3" t="n">
        <v>0</v>
      </c>
      <c r="G24" s="3" t="n">
        <v>0</v>
      </c>
      <c r="H24" s="15" t="n">
        <v>58502038.28</v>
      </c>
    </row>
    <row r="25">
      <c r="A25" s="2" t="inlineStr">
        <is>
          <t>Projeção do liquidado até dez (acum + média × meses restantes)</t>
        </is>
      </c>
      <c r="B25" s="3" t="n">
        <v>637412876.6800001</v>
      </c>
      <c r="C25" s="3" t="n">
        <v>188560931.4</v>
      </c>
      <c r="D25" s="3" t="n">
        <v>58955809.4</v>
      </c>
      <c r="E25" s="3" t="n">
        <v>54000000</v>
      </c>
      <c r="F25" s="3" t="n">
        <v>0</v>
      </c>
      <c r="G25" s="3" t="n">
        <v>0</v>
      </c>
      <c r="H25" s="15" t="n">
        <v>938929617.48</v>
      </c>
    </row>
    <row r="26">
      <c r="A26" s="16" t="inlineStr">
        <is>
          <t>Déficit/superávit vs dotação autorizada (LEI+ALT)</t>
        </is>
      </c>
      <c r="B26" s="7" t="n">
        <v>-49650568.68000007</v>
      </c>
      <c r="C26" s="7" t="n">
        <v>-83804858.40000001</v>
      </c>
      <c r="D26" s="7" t="n">
        <v>-6642962.399999999</v>
      </c>
      <c r="E26" s="7" t="n">
        <v>-24000000</v>
      </c>
      <c r="F26" s="7" t="n">
        <v>10238778</v>
      </c>
      <c r="G26" s="7" t="n">
        <v>71926</v>
      </c>
      <c r="H26" s="15" t="n">
        <v>-153787685.4800001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</row>
    <row r="28">
      <c r="A28" s="2" t="inlineStr">
        <is>
          <t>Liquidado acumulado 2026 (jan–ago)</t>
        </is>
      </c>
      <c r="B28" s="3" t="n">
        <v>517862544.36</v>
      </c>
      <c r="C28" s="3" t="n">
        <v>104756073</v>
      </c>
      <c r="D28" s="3" t="n">
        <v>52302847</v>
      </c>
      <c r="E28" s="3" t="n">
        <v>30000000</v>
      </c>
      <c r="F28" s="3" t="n">
        <v>0</v>
      </c>
      <c r="G28" s="3" t="n">
        <v>0</v>
      </c>
      <c r="H28" s="15" t="n">
        <v>704921464.36</v>
      </c>
    </row>
    <row r="29">
      <c r="A29" s="2" t="inlineStr">
        <is>
          <t>Mediana mensal do liquidado (abr–ago)</t>
        </is>
      </c>
      <c r="B29" s="3" t="n">
        <v>35392829.86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15" t="n">
        <v>35392829.86</v>
      </c>
    </row>
    <row r="30">
      <c r="A30" s="2" t="inlineStr">
        <is>
          <t>Projeção do liquidado até dez (acum + mediana × meses restantes)</t>
        </is>
      </c>
      <c r="B30" s="3" t="n">
        <v>659433863.8</v>
      </c>
      <c r="C30" s="3" t="n">
        <v>104756073</v>
      </c>
      <c r="D30" s="3" t="n">
        <v>52302847</v>
      </c>
      <c r="E30" s="3" t="n">
        <v>30000000</v>
      </c>
      <c r="F30" s="3" t="n">
        <v>0</v>
      </c>
      <c r="G30" s="3" t="n">
        <v>0</v>
      </c>
      <c r="H30" s="15" t="n">
        <v>846492783.8</v>
      </c>
    </row>
    <row r="31">
      <c r="A31" s="16" t="inlineStr">
        <is>
          <t>Déficit/superávit vs dotação autorizada (LEI+ALT)</t>
        </is>
      </c>
      <c r="B31" s="7" t="n">
        <v>-71671555.79999995</v>
      </c>
      <c r="C31" s="7" t="n">
        <v>0</v>
      </c>
      <c r="D31" s="7" t="n">
        <v>10000</v>
      </c>
      <c r="E31" s="7" t="n">
        <v>0</v>
      </c>
      <c r="F31" s="7" t="n">
        <v>10238778</v>
      </c>
      <c r="G31" s="7" t="n">
        <v>71926</v>
      </c>
      <c r="H31" s="15" t="n">
        <v>-61350851.79999995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(R$ 785,1 mi) é inferior ao empenhado de 2025 (R$ 1,20 bi), déficit potencial de R$ 410,1 mi caso a demanda repita o exercício anterior.</t>
        </is>
      </c>
    </row>
    <row r="35" ht="18" customHeight="1">
      <c r="A35" s="18" t="inlineStr">
        <is>
          <t>2.  Ritmo de execução: 98,4%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(R$ 938,9 mi) supera a dotação — déficit de R$ 153,8 mi.</t>
        </is>
      </c>
    </row>
    <row r="37" ht="33" customHeight="1">
      <c r="A37" s="18" t="inlineStr">
        <is>
          <t>4.  Comparação 3 (mediana): pela mediana dos 5 meses fechados (abr–ago), a projeção do liquidado até dez (R$ 846,5 mi) supera a dotação — déficit de R$ 61,4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1195212173.05</v>
      </c>
    </row>
    <row r="41">
      <c r="A41" s="20" t="inlineStr">
        <is>
          <t>Dotação Autorizada 2026</t>
        </is>
      </c>
      <c r="B41" s="21" t="n">
        <v>785141932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176745276.15</v>
      </c>
      <c r="C44" s="21" t="n">
        <v>785141932</v>
      </c>
    </row>
    <row r="45">
      <c r="A45" s="20" t="inlineStr">
        <is>
          <t>Fev</t>
        </is>
      </c>
      <c r="B45" s="21" t="n">
        <v>255635315.14</v>
      </c>
      <c r="C45" s="21" t="n">
        <v>785141932</v>
      </c>
    </row>
    <row r="46">
      <c r="A46" s="20" t="inlineStr">
        <is>
          <t>Mar</t>
        </is>
      </c>
      <c r="B46" s="21" t="n">
        <v>412411272.96</v>
      </c>
      <c r="C46" s="21" t="n">
        <v>785141932</v>
      </c>
    </row>
    <row r="47">
      <c r="A47" s="20" t="inlineStr">
        <is>
          <t>Abr</t>
        </is>
      </c>
      <c r="B47" s="21" t="n">
        <v>412411272.96</v>
      </c>
      <c r="C47" s="21" t="n">
        <v>785141932</v>
      </c>
    </row>
    <row r="48">
      <c r="A48" s="20" t="inlineStr">
        <is>
          <t>Mai</t>
        </is>
      </c>
      <c r="B48" s="21" t="n">
        <v>470197579.96</v>
      </c>
      <c r="C48" s="21" t="n">
        <v>785141932</v>
      </c>
    </row>
    <row r="49">
      <c r="A49" s="20" t="inlineStr">
        <is>
          <t>Jun</t>
        </is>
      </c>
      <c r="B49" s="21" t="n">
        <v>514050524.8000001</v>
      </c>
      <c r="C49" s="21" t="n">
        <v>785141932</v>
      </c>
    </row>
    <row r="50">
      <c r="A50" s="20" t="inlineStr">
        <is>
          <t>Jul</t>
        </is>
      </c>
      <c r="B50" s="21" t="n">
        <v>564772561.5000001</v>
      </c>
      <c r="C50" s="21" t="n">
        <v>785141932</v>
      </c>
    </row>
    <row r="51">
      <c r="A51" s="20" t="inlineStr">
        <is>
          <t>Ago</t>
        </is>
      </c>
      <c r="B51" s="21" t="n">
        <v>704921464.3600001</v>
      </c>
      <c r="C51" s="21" t="n">
        <v>785141932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1105908306.05</v>
      </c>
    </row>
    <row r="54">
      <c r="A54" s="20" t="inlineStr">
        <is>
          <t>Dotação Autorizada 2026 (tesouro)</t>
        </is>
      </c>
      <c r="B54" s="21" t="n">
        <v>692518381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176745276.15</v>
      </c>
      <c r="C57" s="21" t="n">
        <v>692518381</v>
      </c>
    </row>
    <row r="58">
      <c r="A58" s="20" t="inlineStr">
        <is>
          <t>Fev</t>
        </is>
      </c>
      <c r="B58" s="21" t="n">
        <v>214981445.14</v>
      </c>
      <c r="C58" s="21" t="n">
        <v>692518381</v>
      </c>
    </row>
    <row r="59">
      <c r="A59" s="20" t="inlineStr">
        <is>
          <t>Mar</t>
        </is>
      </c>
      <c r="B59" s="21" t="n">
        <v>368424628.96</v>
      </c>
      <c r="C59" s="21" t="n">
        <v>692518381</v>
      </c>
    </row>
    <row r="60">
      <c r="A60" s="20" t="inlineStr">
        <is>
          <t>Abr</t>
        </is>
      </c>
      <c r="B60" s="21" t="n">
        <v>368424628.96</v>
      </c>
      <c r="C60" s="21" t="n">
        <v>692518381</v>
      </c>
    </row>
    <row r="61">
      <c r="A61" s="20" t="inlineStr">
        <is>
          <t>Mai</t>
        </is>
      </c>
      <c r="B61" s="21" t="n">
        <v>396210935.96</v>
      </c>
      <c r="C61" s="21" t="n">
        <v>692518381</v>
      </c>
    </row>
    <row r="62">
      <c r="A62" s="20" t="inlineStr">
        <is>
          <t>Jun</t>
        </is>
      </c>
      <c r="B62" s="21" t="n">
        <v>440063880.8000001</v>
      </c>
      <c r="C62" s="21" t="n">
        <v>692518381</v>
      </c>
    </row>
    <row r="63">
      <c r="A63" s="20" t="inlineStr">
        <is>
          <t>Jul</t>
        </is>
      </c>
      <c r="B63" s="21" t="n">
        <v>482469714.5000001</v>
      </c>
      <c r="C63" s="21" t="n">
        <v>692518381</v>
      </c>
    </row>
    <row r="64">
      <c r="A64" s="20" t="inlineStr">
        <is>
          <t>Ago</t>
        </is>
      </c>
      <c r="B64" s="21" t="n">
        <v>622618617.3600001</v>
      </c>
      <c r="C64" s="21" t="n">
        <v>692518381</v>
      </c>
    </row>
  </sheetData>
  <mergeCells count="5">
    <mergeCell ref="A35:H35"/>
    <mergeCell ref="A33:H33"/>
    <mergeCell ref="A36:H36"/>
    <mergeCell ref="A37:H3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26.453.6216.2756.6137 — Metrô-DF — Manutenção do Sistema Ferroviário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121</t>
        </is>
      </c>
      <c r="D4" s="12" t="inlineStr">
        <is>
          <t>FONTE 161</t>
        </is>
      </c>
      <c r="E4" s="12" t="inlineStr">
        <is>
          <t>FONTE 183</t>
        </is>
      </c>
      <c r="F4" s="12" t="inlineStr">
        <is>
          <t>FONTE 220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10559358</v>
      </c>
      <c r="C6" s="3" t="n">
        <v>5668731</v>
      </c>
      <c r="D6" s="3" t="n">
        <v>0</v>
      </c>
      <c r="E6" s="3" t="n">
        <v>35524656</v>
      </c>
      <c r="F6" s="3" t="n">
        <v>43277965</v>
      </c>
      <c r="G6" s="15" t="n">
        <v>95030710</v>
      </c>
    </row>
    <row r="7">
      <c r="A7" s="2" t="inlineStr">
        <is>
          <t>Alterações 2025</t>
        </is>
      </c>
      <c r="B7" s="3" t="n">
        <v>49857420</v>
      </c>
      <c r="C7" s="3" t="n">
        <v>0</v>
      </c>
      <c r="D7" s="3" t="n">
        <v>10000000</v>
      </c>
      <c r="E7" s="3" t="n">
        <v>-2668022</v>
      </c>
      <c r="F7" s="3" t="n">
        <v>1615112.000000002</v>
      </c>
      <c r="G7" s="15" t="n">
        <v>58804510</v>
      </c>
    </row>
    <row r="8">
      <c r="A8" s="2" t="inlineStr">
        <is>
          <t>Despesa autorizada 2025 (DESP AUT.)</t>
        </is>
      </c>
      <c r="B8" s="3" t="n">
        <v>60415761.65</v>
      </c>
      <c r="C8" s="3" t="n">
        <v>5668731</v>
      </c>
      <c r="D8" s="3" t="n">
        <v>10000000</v>
      </c>
      <c r="E8" s="3" t="n">
        <v>32856633.11</v>
      </c>
      <c r="F8" s="3" t="n">
        <v>44893077</v>
      </c>
      <c r="G8" s="15" t="n">
        <v>153834202.76</v>
      </c>
    </row>
    <row r="9">
      <c r="A9" s="16" t="inlineStr">
        <is>
          <t>Empenhado 2025</t>
        </is>
      </c>
      <c r="B9" s="7" t="n">
        <v>60415761.65</v>
      </c>
      <c r="C9" s="7" t="n">
        <v>0</v>
      </c>
      <c r="D9" s="7" t="n">
        <v>9971530.67</v>
      </c>
      <c r="E9" s="7" t="n">
        <v>32856633.11</v>
      </c>
      <c r="F9" s="7" t="n">
        <v>43916059.9</v>
      </c>
      <c r="G9" s="15" t="n">
        <v>147159985.33</v>
      </c>
    </row>
    <row r="10">
      <c r="A10" s="2" t="inlineStr">
        <is>
          <t>Liquidado 2025</t>
        </is>
      </c>
      <c r="B10" s="3" t="n">
        <v>60170537.51</v>
      </c>
      <c r="C10" s="3" t="n">
        <v>0</v>
      </c>
      <c r="D10" s="3" t="n">
        <v>8895644.040000001</v>
      </c>
      <c r="E10" s="3" t="n">
        <v>32579100.89</v>
      </c>
      <c r="F10" s="3" t="n">
        <v>42211821.12</v>
      </c>
      <c r="G10" s="15" t="n">
        <v>143857103.56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83553462</v>
      </c>
      <c r="C12" s="3" t="n">
        <v>0</v>
      </c>
      <c r="D12" s="3" t="n">
        <v>0</v>
      </c>
      <c r="E12" s="3" t="n">
        <v>27083670</v>
      </c>
      <c r="F12" s="3" t="n">
        <v>23655868</v>
      </c>
      <c r="G12" s="15" t="n">
        <v>134293000</v>
      </c>
    </row>
    <row r="13">
      <c r="A13" s="2" t="inlineStr">
        <is>
          <t>Alterações 2026</t>
        </is>
      </c>
      <c r="B13" s="3" t="n">
        <v>-8743486</v>
      </c>
      <c r="C13" s="3" t="n">
        <v>0</v>
      </c>
      <c r="D13" s="3" t="n">
        <v>0</v>
      </c>
      <c r="E13" s="3" t="n">
        <v>-1.746229827404022e-10</v>
      </c>
      <c r="F13" s="3" t="n">
        <v>-2386042.000000001</v>
      </c>
      <c r="G13" s="15" t="n">
        <v>-11129528</v>
      </c>
    </row>
    <row r="14">
      <c r="A14" s="16" t="inlineStr">
        <is>
          <t>Dotação autorizada 2026 (LEI + ALTERAÇÃO)</t>
        </is>
      </c>
      <c r="B14" s="7" t="n">
        <v>74809976</v>
      </c>
      <c r="C14" s="7" t="n">
        <v>0</v>
      </c>
      <c r="D14" s="7" t="n">
        <v>0</v>
      </c>
      <c r="E14" s="7" t="n">
        <v>27083670</v>
      </c>
      <c r="F14" s="7" t="n">
        <v>21269826</v>
      </c>
      <c r="G14" s="15" t="n">
        <v>123163472</v>
      </c>
    </row>
    <row r="15">
      <c r="A15" s="2" t="inlineStr">
        <is>
          <t>Cota a liberar 2026</t>
        </is>
      </c>
      <c r="B15" s="3" t="n">
        <v>1406841.33</v>
      </c>
      <c r="C15" s="3" t="n">
        <v>0</v>
      </c>
      <c r="D15" s="3" t="n">
        <v>0</v>
      </c>
      <c r="E15" s="3" t="n">
        <v>0.9</v>
      </c>
      <c r="F15" s="3" t="n">
        <v>0</v>
      </c>
      <c r="G15" s="15" t="n">
        <v>1406842.23</v>
      </c>
    </row>
    <row r="16">
      <c r="A16" s="2" t="inlineStr">
        <is>
          <t>Contingenciado 2026</t>
        </is>
      </c>
      <c r="B16" s="3" t="n">
        <v>0.44</v>
      </c>
      <c r="C16" s="3" t="n">
        <v>0</v>
      </c>
      <c r="D16" s="3" t="n">
        <v>0</v>
      </c>
      <c r="E16" s="3" t="n">
        <v>0.89</v>
      </c>
      <c r="F16" s="3" t="n">
        <v>0</v>
      </c>
      <c r="G16" s="15" t="n">
        <v>1.33</v>
      </c>
    </row>
    <row r="17">
      <c r="A17" s="16" t="inlineStr">
        <is>
          <t>Despesa autorizada 2026 (DESP AUT.)</t>
        </is>
      </c>
      <c r="B17" s="7" t="n">
        <v>73403134.23</v>
      </c>
      <c r="C17" s="7" t="n">
        <v>0</v>
      </c>
      <c r="D17" s="7" t="n">
        <v>0</v>
      </c>
      <c r="E17" s="7" t="n">
        <v>27083668.21</v>
      </c>
      <c r="F17" s="7" t="n">
        <v>21269826</v>
      </c>
      <c r="G17" s="15" t="n">
        <v>121756628.44</v>
      </c>
    </row>
    <row r="18">
      <c r="A18" s="16" t="inlineStr">
        <is>
          <t>Empenhado 2026 (jan–ago fechado)</t>
        </is>
      </c>
      <c r="B18" s="7" t="n">
        <v>73370777.16000001</v>
      </c>
      <c r="C18" s="7" t="n">
        <v>0</v>
      </c>
      <c r="D18" s="7" t="n">
        <v>0</v>
      </c>
      <c r="E18" s="7" t="n">
        <v>9577216.209999999</v>
      </c>
      <c r="F18" s="7" t="n">
        <v>21268662.49</v>
      </c>
      <c r="G18" s="15" t="n">
        <v>104216655.86</v>
      </c>
    </row>
    <row r="19">
      <c r="A19" s="2" t="inlineStr">
        <is>
          <t>Disponível 2026 (saldo)</t>
        </is>
      </c>
      <c r="B19" s="3" t="n">
        <v>32357.07</v>
      </c>
      <c r="C19" s="3" t="n">
        <v>0</v>
      </c>
      <c r="D19" s="3" t="n">
        <v>0</v>
      </c>
      <c r="E19" s="3" t="n">
        <v>17506452</v>
      </c>
      <c r="F19" s="3" t="n">
        <v>1163.51</v>
      </c>
      <c r="G19" s="15" t="n">
        <v>17539972.58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14394214.35</v>
      </c>
      <c r="C21" s="7" t="n">
        <v>0</v>
      </c>
      <c r="D21" s="7" t="n">
        <v>-9971530.67</v>
      </c>
      <c r="E21" s="7" t="n">
        <v>-5772963.109999999</v>
      </c>
      <c r="F21" s="7" t="n">
        <v>-22646233.9</v>
      </c>
      <c r="G21" s="15" t="n">
        <v>-23996513.33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67379250.86</v>
      </c>
      <c r="C23" s="3" t="n">
        <v>0</v>
      </c>
      <c r="D23" s="3" t="n">
        <v>0</v>
      </c>
      <c r="E23" s="3" t="n">
        <v>9577216.210000001</v>
      </c>
      <c r="F23" s="3" t="n">
        <v>21189726.4</v>
      </c>
      <c r="G23" s="15" t="n">
        <v>98146193.47</v>
      </c>
    </row>
    <row r="24">
      <c r="A24" s="2" t="inlineStr">
        <is>
          <t>Média mensal do liquidado (abr–ago)</t>
        </is>
      </c>
      <c r="B24" s="3" t="n">
        <v>8881980.41</v>
      </c>
      <c r="C24" s="3" t="n">
        <v>0</v>
      </c>
      <c r="D24" s="3" t="n">
        <v>0</v>
      </c>
      <c r="E24" s="3" t="n">
        <v>1171991.158</v>
      </c>
      <c r="F24" s="3" t="n">
        <v>1593052.352</v>
      </c>
      <c r="G24" s="15" t="n">
        <v>11647023.92</v>
      </c>
    </row>
    <row r="25">
      <c r="A25" s="2" t="inlineStr">
        <is>
          <t>Projeção do liquidado até dez (acum + média × meses restantes)</t>
        </is>
      </c>
      <c r="B25" s="3" t="n">
        <v>102907172.5</v>
      </c>
      <c r="C25" s="3" t="n">
        <v>0</v>
      </c>
      <c r="D25" s="3" t="n">
        <v>0</v>
      </c>
      <c r="E25" s="3" t="n">
        <v>14265180.842</v>
      </c>
      <c r="F25" s="3" t="n">
        <v>27561935.808</v>
      </c>
      <c r="G25" s="15" t="n">
        <v>144734289.15</v>
      </c>
    </row>
    <row r="26">
      <c r="A26" s="16" t="inlineStr">
        <is>
          <t>Déficit/superávit vs dotação autorizada (LEI+ALT)</t>
        </is>
      </c>
      <c r="B26" s="7" t="n">
        <v>-28097196.5</v>
      </c>
      <c r="C26" s="7" t="n">
        <v>0</v>
      </c>
      <c r="D26" s="7" t="n">
        <v>0</v>
      </c>
      <c r="E26" s="7" t="n">
        <v>12818489.158</v>
      </c>
      <c r="F26" s="7" t="n">
        <v>-6292109.808000002</v>
      </c>
      <c r="G26" s="15" t="n">
        <v>-21570817.15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67379250.86</v>
      </c>
      <c r="C28" s="3" t="n">
        <v>0</v>
      </c>
      <c r="D28" s="3" t="n">
        <v>0</v>
      </c>
      <c r="E28" s="3" t="n">
        <v>9577216.210000001</v>
      </c>
      <c r="F28" s="3" t="n">
        <v>21189726.4</v>
      </c>
      <c r="G28" s="15" t="n">
        <v>98146193.47</v>
      </c>
    </row>
    <row r="29">
      <c r="A29" s="2" t="inlineStr">
        <is>
          <t>Mediana mensal do liquidado (abr–ago)</t>
        </is>
      </c>
      <c r="B29" s="3" t="n">
        <v>10823575.78</v>
      </c>
      <c r="C29" s="3" t="n">
        <v>0</v>
      </c>
      <c r="D29" s="3" t="n">
        <v>0</v>
      </c>
      <c r="E29" s="3" t="n">
        <v>25114.16</v>
      </c>
      <c r="F29" s="3" t="n">
        <v>1528240.81</v>
      </c>
      <c r="G29" s="15" t="n">
        <v>12376930.75</v>
      </c>
    </row>
    <row r="30">
      <c r="A30" s="2" t="inlineStr">
        <is>
          <t>Projeção do liquidado até dez (acum + mediana × meses restantes)</t>
        </is>
      </c>
      <c r="B30" s="3" t="n">
        <v>110673553.98</v>
      </c>
      <c r="C30" s="3" t="n">
        <v>0</v>
      </c>
      <c r="D30" s="3" t="n">
        <v>0</v>
      </c>
      <c r="E30" s="3" t="n">
        <v>9677672.850000001</v>
      </c>
      <c r="F30" s="3" t="n">
        <v>27302689.64</v>
      </c>
      <c r="G30" s="15" t="n">
        <v>147653916.47</v>
      </c>
    </row>
    <row r="31">
      <c r="A31" s="16" t="inlineStr">
        <is>
          <t>Déficit/superávit vs dotação autorizada (LEI+ALT)</t>
        </is>
      </c>
      <c r="B31" s="7" t="n">
        <v>-35863577.97999999</v>
      </c>
      <c r="C31" s="7" t="n">
        <v>0</v>
      </c>
      <c r="D31" s="7" t="n">
        <v>0</v>
      </c>
      <c r="E31" s="7" t="n">
        <v>17405997.15</v>
      </c>
      <c r="F31" s="7" t="n">
        <v>-6032863.640000001</v>
      </c>
      <c r="G31" s="15" t="n">
        <v>-24490444.46999999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(R$ 123,2 mi) é inferior ao empenhado de 2025 (R$ 147,2 mi), déficit potencial de R$ 24,0 mi caso a demanda repita o exercício anterior.</t>
        </is>
      </c>
    </row>
    <row r="35" ht="18" customHeight="1">
      <c r="A35" s="18" t="inlineStr">
        <is>
          <t>2.  Ritmo de execução: 85,6%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(R$ 144,7 mi) supera a dotação — déficit de R$ 21,6 mi.</t>
        </is>
      </c>
    </row>
    <row r="37" ht="33" customHeight="1">
      <c r="A37" s="18" t="inlineStr">
        <is>
          <t>4.  Comparação 3 (mediana): pela mediana dos 5 meses fechados (abr–ago), a projeção do liquidado até dez (R$ 147,7 mi) supera a dotação — déficit de R$ 24,5 mi.</t>
        </is>
      </c>
    </row>
    <row r="38" ht="18" customHeight="1">
      <c r="A38" s="18" t="inlineStr">
        <is>
          <t>5.  Recursos retidos: R$ 1,4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147159985.33</v>
      </c>
    </row>
    <row r="42">
      <c r="A42" s="20" t="inlineStr">
        <is>
          <t>Dotação Autorizada 2026</t>
        </is>
      </c>
      <c r="B42" s="21" t="n">
        <v>123163472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0</v>
      </c>
      <c r="C45" s="21" t="n">
        <v>123163472</v>
      </c>
    </row>
    <row r="46">
      <c r="A46" s="20" t="inlineStr">
        <is>
          <t>Fev</t>
        </is>
      </c>
      <c r="B46" s="21" t="n">
        <v>25969889.86</v>
      </c>
      <c r="C46" s="21" t="n">
        <v>123163472</v>
      </c>
    </row>
    <row r="47">
      <c r="A47" s="20" t="inlineStr">
        <is>
          <t>Mar</t>
        </is>
      </c>
      <c r="B47" s="21" t="n">
        <v>39911073.87</v>
      </c>
      <c r="C47" s="21" t="n">
        <v>123163472</v>
      </c>
    </row>
    <row r="48">
      <c r="A48" s="20" t="inlineStr">
        <is>
          <t>Abr</t>
        </is>
      </c>
      <c r="B48" s="21" t="n">
        <v>49192755.99000001</v>
      </c>
      <c r="C48" s="21" t="n">
        <v>123163472</v>
      </c>
    </row>
    <row r="49">
      <c r="A49" s="20" t="inlineStr">
        <is>
          <t>Mai</t>
        </is>
      </c>
      <c r="B49" s="21" t="n">
        <v>62943043.74000001</v>
      </c>
      <c r="C49" s="21" t="n">
        <v>123163472</v>
      </c>
    </row>
    <row r="50">
      <c r="A50" s="20" t="inlineStr">
        <is>
          <t>Jun</t>
        </is>
      </c>
      <c r="B50" s="21" t="n">
        <v>67064364.47000001</v>
      </c>
      <c r="C50" s="21" t="n">
        <v>123163472</v>
      </c>
    </row>
    <row r="51">
      <c r="A51" s="20" t="inlineStr">
        <is>
          <t>Jul</t>
        </is>
      </c>
      <c r="B51" s="21" t="n">
        <v>87322617.69000001</v>
      </c>
      <c r="C51" s="21" t="n">
        <v>123163472</v>
      </c>
    </row>
    <row r="52">
      <c r="A52" s="20" t="inlineStr">
        <is>
          <t>Ago</t>
        </is>
      </c>
      <c r="B52" s="21" t="n">
        <v>98146193.47000001</v>
      </c>
      <c r="C52" s="21" t="n">
        <v>123163472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103243925.43</v>
      </c>
    </row>
    <row r="55">
      <c r="A55" s="20" t="inlineStr">
        <is>
          <t>Dotação Autorizada 2026 (tesouro)</t>
        </is>
      </c>
      <c r="B55" s="21" t="n">
        <v>101893646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0</v>
      </c>
      <c r="C58" s="21" t="n">
        <v>101893646</v>
      </c>
    </row>
    <row r="59">
      <c r="A59" s="20" t="inlineStr">
        <is>
          <t>Fev</t>
        </is>
      </c>
      <c r="B59" s="21" t="n">
        <v>16802937.39</v>
      </c>
      <c r="C59" s="21" t="n">
        <v>101893646</v>
      </c>
    </row>
    <row r="60">
      <c r="A60" s="20" t="inlineStr">
        <is>
          <t>Mar</t>
        </is>
      </c>
      <c r="B60" s="21" t="n">
        <v>26686609.23</v>
      </c>
      <c r="C60" s="21" t="n">
        <v>101893646</v>
      </c>
    </row>
    <row r="61">
      <c r="A61" s="20" t="inlineStr">
        <is>
          <t>Abr</t>
        </is>
      </c>
      <c r="B61" s="21" t="n">
        <v>32432449.25</v>
      </c>
      <c r="C61" s="21" t="n">
        <v>101893646</v>
      </c>
    </row>
    <row r="62">
      <c r="A62" s="20" t="inlineStr">
        <is>
          <t>Mai</t>
        </is>
      </c>
      <c r="B62" s="21" t="n">
        <v>44377545.87</v>
      </c>
      <c r="C62" s="21" t="n">
        <v>101893646</v>
      </c>
    </row>
    <row r="63">
      <c r="A63" s="20" t="inlineStr">
        <is>
          <t>Jun</t>
        </is>
      </c>
      <c r="B63" s="21" t="n">
        <v>46970625.79000001</v>
      </c>
      <c r="C63" s="21" t="n">
        <v>101893646</v>
      </c>
    </row>
    <row r="64">
      <c r="A64" s="20" t="inlineStr">
        <is>
          <t>Jul</t>
        </is>
      </c>
      <c r="B64" s="21" t="n">
        <v>66132891.29000001</v>
      </c>
      <c r="C64" s="21" t="n">
        <v>101893646</v>
      </c>
    </row>
    <row r="65">
      <c r="A65" s="20" t="inlineStr">
        <is>
          <t>Ago</t>
        </is>
      </c>
      <c r="B65" s="21" t="n">
        <v>76956467.07000001</v>
      </c>
      <c r="C65" s="21" t="n">
        <v>101893646</v>
      </c>
    </row>
  </sheetData>
  <mergeCells count="6">
    <mergeCell ref="A36:G36"/>
    <mergeCell ref="A34:G34"/>
    <mergeCell ref="A35:G35"/>
    <mergeCell ref="A38:G38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17.512.6209.2903.0001 — NOVACAP — Manutenção de Redes de Águas Pluviais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FONTE 183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22185000</v>
      </c>
      <c r="C6" s="3" t="n">
        <v>0</v>
      </c>
      <c r="D6" s="3" t="n">
        <v>0</v>
      </c>
      <c r="E6" s="3" t="n">
        <v>0</v>
      </c>
      <c r="F6" s="3" t="n">
        <v>0</v>
      </c>
      <c r="G6" s="15" t="n">
        <v>22185000</v>
      </c>
    </row>
    <row r="7">
      <c r="A7" s="2" t="inlineStr">
        <is>
          <t>Alterações 2025</t>
        </is>
      </c>
      <c r="B7" s="3" t="n">
        <v>162693555</v>
      </c>
      <c r="C7" s="3" t="n">
        <v>14113164</v>
      </c>
      <c r="D7" s="3" t="n">
        <v>1968135</v>
      </c>
      <c r="E7" s="3" t="n">
        <v>83420068</v>
      </c>
      <c r="F7" s="3" t="n">
        <v>1000000</v>
      </c>
      <c r="G7" s="15" t="n">
        <v>263194922</v>
      </c>
    </row>
    <row r="8">
      <c r="A8" s="2" t="inlineStr">
        <is>
          <t>Despesa autorizada 2025 (DESP AUT.)</t>
        </is>
      </c>
      <c r="B8" s="3" t="n">
        <v>184878555</v>
      </c>
      <c r="C8" s="3" t="n">
        <v>14113164</v>
      </c>
      <c r="D8" s="3" t="n">
        <v>1968135</v>
      </c>
      <c r="E8" s="3" t="n">
        <v>83420068</v>
      </c>
      <c r="F8" s="3" t="n">
        <v>1000000</v>
      </c>
      <c r="G8" s="15" t="n">
        <v>285379922</v>
      </c>
    </row>
    <row r="9">
      <c r="A9" s="16" t="inlineStr">
        <is>
          <t>Empenhado 2025</t>
        </is>
      </c>
      <c r="B9" s="7" t="n">
        <v>184878554.25</v>
      </c>
      <c r="C9" s="7" t="n">
        <v>14113164</v>
      </c>
      <c r="D9" s="7" t="n">
        <v>1968135</v>
      </c>
      <c r="E9" s="7" t="n">
        <v>83420068</v>
      </c>
      <c r="F9" s="7" t="n">
        <v>1000000</v>
      </c>
      <c r="G9" s="15" t="n">
        <v>285379921.25</v>
      </c>
    </row>
    <row r="10">
      <c r="A10" s="2" t="inlineStr">
        <is>
          <t>Liquidado 2025</t>
        </is>
      </c>
      <c r="B10" s="3" t="n">
        <v>177983272.49</v>
      </c>
      <c r="C10" s="3" t="n">
        <v>12053753.92</v>
      </c>
      <c r="D10" s="3" t="n">
        <v>1427872.19</v>
      </c>
      <c r="E10" s="3" t="n">
        <v>83420068</v>
      </c>
      <c r="F10" s="3" t="n">
        <v>954415.24</v>
      </c>
      <c r="G10" s="15" t="n">
        <v>275839381.84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22000000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22000000</v>
      </c>
    </row>
    <row r="13">
      <c r="A13" s="2" t="inlineStr">
        <is>
          <t>Alterações 2026</t>
        </is>
      </c>
      <c r="B13" s="3" t="n">
        <v>68816912</v>
      </c>
      <c r="C13" s="3" t="n">
        <v>2550000</v>
      </c>
      <c r="D13" s="3" t="n">
        <v>0</v>
      </c>
      <c r="E13" s="3" t="n">
        <v>0</v>
      </c>
      <c r="F13" s="3" t="n">
        <v>0</v>
      </c>
      <c r="G13" s="15" t="n">
        <v>71366912</v>
      </c>
    </row>
    <row r="14">
      <c r="A14" s="16" t="inlineStr">
        <is>
          <t>Dotação autorizada 2026 (LEI + ALTERAÇÃO)</t>
        </is>
      </c>
      <c r="B14" s="7" t="n">
        <v>90816912</v>
      </c>
      <c r="C14" s="7" t="n">
        <v>2550000</v>
      </c>
      <c r="D14" s="7" t="n">
        <v>0</v>
      </c>
      <c r="E14" s="7" t="n">
        <v>0</v>
      </c>
      <c r="F14" s="7" t="n">
        <v>0</v>
      </c>
      <c r="G14" s="15" t="n">
        <v>93366912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90816912</v>
      </c>
      <c r="C17" s="7" t="n">
        <v>2550000</v>
      </c>
      <c r="D17" s="7" t="n">
        <v>0</v>
      </c>
      <c r="E17" s="7" t="n">
        <v>0</v>
      </c>
      <c r="F17" s="7" t="n">
        <v>0</v>
      </c>
      <c r="G17" s="15" t="n">
        <v>93366912</v>
      </c>
    </row>
    <row r="18">
      <c r="A18" s="16" t="inlineStr">
        <is>
          <t>Empenhado 2026 (jan–ago fechado)</t>
        </is>
      </c>
      <c r="B18" s="7" t="n">
        <v>90715080.09999999</v>
      </c>
      <c r="C18" s="7" t="n">
        <v>2550000</v>
      </c>
      <c r="D18" s="7" t="n">
        <v>0</v>
      </c>
      <c r="E18" s="7" t="n">
        <v>0</v>
      </c>
      <c r="F18" s="7" t="n">
        <v>0</v>
      </c>
      <c r="G18" s="15" t="n">
        <v>93265080.09999999</v>
      </c>
    </row>
    <row r="19">
      <c r="A19" s="2" t="inlineStr">
        <is>
          <t>Disponível 2026 (saldo)</t>
        </is>
      </c>
      <c r="B19" s="3" t="n">
        <v>101831.9</v>
      </c>
      <c r="C19" s="3" t="n">
        <v>0</v>
      </c>
      <c r="D19" s="3" t="n">
        <v>0</v>
      </c>
      <c r="E19" s="3" t="n">
        <v>0</v>
      </c>
      <c r="F19" s="3" t="n">
        <v>0</v>
      </c>
      <c r="G19" s="15" t="n">
        <v>101831.9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-94061642.25</v>
      </c>
      <c r="C21" s="7" t="n">
        <v>-11563164</v>
      </c>
      <c r="D21" s="7" t="n">
        <v>-1968135</v>
      </c>
      <c r="E21" s="7" t="n">
        <v>-83420068</v>
      </c>
      <c r="F21" s="7" t="n">
        <v>-1000000</v>
      </c>
      <c r="G21" s="15" t="n">
        <v>-192013009.25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64907932.37</v>
      </c>
      <c r="C23" s="3" t="n">
        <v>0</v>
      </c>
      <c r="D23" s="3" t="n">
        <v>0</v>
      </c>
      <c r="E23" s="3" t="n">
        <v>0</v>
      </c>
      <c r="F23" s="3" t="n">
        <v>0</v>
      </c>
      <c r="G23" s="15" t="n">
        <v>64907932.37</v>
      </c>
    </row>
    <row r="24">
      <c r="A24" s="2" t="inlineStr">
        <is>
          <t>Média mensal do liquidado (abr–ago)</t>
        </is>
      </c>
      <c r="B24" s="3" t="n">
        <v>12326150.176</v>
      </c>
      <c r="C24" s="3" t="n">
        <v>0</v>
      </c>
      <c r="D24" s="3" t="n">
        <v>0</v>
      </c>
      <c r="E24" s="3" t="n">
        <v>0</v>
      </c>
      <c r="F24" s="3" t="n">
        <v>0</v>
      </c>
      <c r="G24" s="15" t="n">
        <v>12326150.176</v>
      </c>
    </row>
    <row r="25">
      <c r="A25" s="2" t="inlineStr">
        <is>
          <t>Projeção do liquidado até dez (acum + média × meses restantes)</t>
        </is>
      </c>
      <c r="B25" s="3" t="n">
        <v>114212533.074</v>
      </c>
      <c r="C25" s="3" t="n">
        <v>0</v>
      </c>
      <c r="D25" s="3" t="n">
        <v>0</v>
      </c>
      <c r="E25" s="3" t="n">
        <v>0</v>
      </c>
      <c r="F25" s="3" t="n">
        <v>0</v>
      </c>
      <c r="G25" s="15" t="n">
        <v>114212533.074</v>
      </c>
    </row>
    <row r="26">
      <c r="A26" s="16" t="inlineStr">
        <is>
          <t>Déficit/superávit vs dotação autorizada (LEI+ALT)</t>
        </is>
      </c>
      <c r="B26" s="7" t="n">
        <v>-23395621.074</v>
      </c>
      <c r="C26" s="7" t="n">
        <v>2550000</v>
      </c>
      <c r="D26" s="7" t="n">
        <v>0</v>
      </c>
      <c r="E26" s="7" t="n">
        <v>0</v>
      </c>
      <c r="F26" s="7" t="n">
        <v>0</v>
      </c>
      <c r="G26" s="15" t="n">
        <v>-20845621.074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64907932.37</v>
      </c>
      <c r="C28" s="3" t="n">
        <v>0</v>
      </c>
      <c r="D28" s="3" t="n">
        <v>0</v>
      </c>
      <c r="E28" s="3" t="n">
        <v>0</v>
      </c>
      <c r="F28" s="3" t="n">
        <v>0</v>
      </c>
      <c r="G28" s="15" t="n">
        <v>64907932.37</v>
      </c>
    </row>
    <row r="29">
      <c r="A29" s="2" t="inlineStr">
        <is>
          <t>Mediana mensal do liquidado (abr–ago)</t>
        </is>
      </c>
      <c r="B29" s="3" t="n">
        <v>12292503.65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12292503.65</v>
      </c>
    </row>
    <row r="30">
      <c r="A30" s="2" t="inlineStr">
        <is>
          <t>Projeção do liquidado até dez (acum + mediana × meses restantes)</t>
        </is>
      </c>
      <c r="B30" s="3" t="n">
        <v>114077946.97</v>
      </c>
      <c r="C30" s="3" t="n">
        <v>0</v>
      </c>
      <c r="D30" s="3" t="n">
        <v>0</v>
      </c>
      <c r="E30" s="3" t="n">
        <v>0</v>
      </c>
      <c r="F30" s="3" t="n">
        <v>0</v>
      </c>
      <c r="G30" s="15" t="n">
        <v>114077946.97</v>
      </c>
    </row>
    <row r="31">
      <c r="A31" s="16" t="inlineStr">
        <is>
          <t>Déficit/superávit vs dotação autorizada (LEI+ALT)</t>
        </is>
      </c>
      <c r="B31" s="7" t="n">
        <v>-23261034.97</v>
      </c>
      <c r="C31" s="7" t="n">
        <v>2550000</v>
      </c>
      <c r="D31" s="7" t="n">
        <v>0</v>
      </c>
      <c r="E31" s="7" t="n">
        <v>0</v>
      </c>
      <c r="F31" s="7" t="n">
        <v>0</v>
      </c>
      <c r="G31" s="15" t="n">
        <v>-20711034.97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(R$ 93,4 mi) é inferior ao empenhado de 2025 (R$ 285,4 mi), déficit potencial de R$ 192,0 mi caso a demanda repita o exercício anterior.</t>
        </is>
      </c>
    </row>
    <row r="35" ht="18" customHeight="1">
      <c r="A35" s="18" t="inlineStr">
        <is>
          <t>2.  Ritmo de execução: 99,9%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(R$ 114,2 mi) supera a dotação — déficit de R$ 20,8 mi.</t>
        </is>
      </c>
    </row>
    <row r="37" ht="33" customHeight="1">
      <c r="A37" s="18" t="inlineStr">
        <is>
          <t>4.  Comparação 3 (mediana): pela mediana dos 5 meses fechados (abr–ago), a projeção do liquidado até dez (R$ 114,1 mi) supera a dotação — déficit de R$ 20,7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285379921.25</v>
      </c>
    </row>
    <row r="41">
      <c r="A41" s="20" t="inlineStr">
        <is>
          <t>Dotação Autorizada 2026</t>
        </is>
      </c>
      <c r="B41" s="21" t="n">
        <v>93366912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93366912</v>
      </c>
    </row>
    <row r="45">
      <c r="A45" s="20" t="inlineStr">
        <is>
          <t>Fev</t>
        </is>
      </c>
      <c r="B45" s="21" t="n">
        <v>0</v>
      </c>
      <c r="C45" s="21" t="n">
        <v>93366912</v>
      </c>
    </row>
    <row r="46">
      <c r="A46" s="20" t="inlineStr">
        <is>
          <t>Mar</t>
        </is>
      </c>
      <c r="B46" s="21" t="n">
        <v>3277181.49</v>
      </c>
      <c r="C46" s="21" t="n">
        <v>93366912</v>
      </c>
    </row>
    <row r="47">
      <c r="A47" s="20" t="inlineStr">
        <is>
          <t>Abr</t>
        </is>
      </c>
      <c r="B47" s="21" t="n">
        <v>17922787.96</v>
      </c>
      <c r="C47" s="21" t="n">
        <v>93366912</v>
      </c>
    </row>
    <row r="48">
      <c r="A48" s="20" t="inlineStr">
        <is>
          <t>Mai</t>
        </is>
      </c>
      <c r="B48" s="21" t="n">
        <v>17922787.96</v>
      </c>
      <c r="C48" s="21" t="n">
        <v>93366912</v>
      </c>
    </row>
    <row r="49">
      <c r="A49" s="20" t="inlineStr">
        <is>
          <t>Jun</t>
        </is>
      </c>
      <c r="B49" s="21" t="n">
        <v>30215291.61</v>
      </c>
      <c r="C49" s="21" t="n">
        <v>93366912</v>
      </c>
    </row>
    <row r="50">
      <c r="A50" s="20" t="inlineStr">
        <is>
          <t>Jul</t>
        </is>
      </c>
      <c r="B50" s="21" t="n">
        <v>41100479.36</v>
      </c>
      <c r="C50" s="21" t="n">
        <v>93366912</v>
      </c>
    </row>
    <row r="51">
      <c r="A51" s="20" t="inlineStr">
        <is>
          <t>Ago</t>
        </is>
      </c>
      <c r="B51" s="21" t="n">
        <v>64907932.37</v>
      </c>
      <c r="C51" s="21" t="n">
        <v>93366912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285379921.25</v>
      </c>
    </row>
    <row r="54">
      <c r="A54" s="20" t="inlineStr">
        <is>
          <t>Dotação Autorizada 2026 (tesouro)</t>
        </is>
      </c>
      <c r="B54" s="21" t="n">
        <v>93366912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93366912</v>
      </c>
    </row>
    <row r="58">
      <c r="A58" s="20" t="inlineStr">
        <is>
          <t>Fev</t>
        </is>
      </c>
      <c r="B58" s="21" t="n">
        <v>0</v>
      </c>
      <c r="C58" s="21" t="n">
        <v>93366912</v>
      </c>
    </row>
    <row r="59">
      <c r="A59" s="20" t="inlineStr">
        <is>
          <t>Mar</t>
        </is>
      </c>
      <c r="B59" s="21" t="n">
        <v>3277181.49</v>
      </c>
      <c r="C59" s="21" t="n">
        <v>93366912</v>
      </c>
    </row>
    <row r="60">
      <c r="A60" s="20" t="inlineStr">
        <is>
          <t>Abr</t>
        </is>
      </c>
      <c r="B60" s="21" t="n">
        <v>17922787.96</v>
      </c>
      <c r="C60" s="21" t="n">
        <v>93366912</v>
      </c>
    </row>
    <row r="61">
      <c r="A61" s="20" t="inlineStr">
        <is>
          <t>Mai</t>
        </is>
      </c>
      <c r="B61" s="21" t="n">
        <v>17922787.96</v>
      </c>
      <c r="C61" s="21" t="n">
        <v>93366912</v>
      </c>
    </row>
    <row r="62">
      <c r="A62" s="20" t="inlineStr">
        <is>
          <t>Jun</t>
        </is>
      </c>
      <c r="B62" s="21" t="n">
        <v>30215291.61</v>
      </c>
      <c r="C62" s="21" t="n">
        <v>93366912</v>
      </c>
    </row>
    <row r="63">
      <c r="A63" s="20" t="inlineStr">
        <is>
          <t>Jul</t>
        </is>
      </c>
      <c r="B63" s="21" t="n">
        <v>41100479.36</v>
      </c>
      <c r="C63" s="21" t="n">
        <v>93366912</v>
      </c>
    </row>
    <row r="64">
      <c r="A64" s="20" t="inlineStr">
        <is>
          <t>Ago</t>
        </is>
      </c>
      <c r="B64" s="21" t="n">
        <v>64907932.37</v>
      </c>
      <c r="C64" s="21" t="n">
        <v>93366912</v>
      </c>
    </row>
  </sheetData>
  <mergeCells count="5">
    <mergeCell ref="A36:G36"/>
    <mergeCell ref="A34:G34"/>
    <mergeCell ref="A35:G35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15.452.6209.8508.0002 — NOVACAP — Manutenção de Áreas Urbanizadas e Ajardinadas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FONTE 183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126108100</v>
      </c>
      <c r="C6" s="3" t="n">
        <v>0</v>
      </c>
      <c r="D6" s="3" t="n">
        <v>0</v>
      </c>
      <c r="E6" s="3" t="n">
        <v>10301400</v>
      </c>
      <c r="F6" s="3" t="n">
        <v>16000000</v>
      </c>
      <c r="G6" s="15" t="n">
        <v>152409500</v>
      </c>
    </row>
    <row r="7">
      <c r="A7" s="2" t="inlineStr">
        <is>
          <t>Alterações 2025</t>
        </is>
      </c>
      <c r="B7" s="3" t="n">
        <v>166133558</v>
      </c>
      <c r="C7" s="3" t="n">
        <v>21450000</v>
      </c>
      <c r="D7" s="3" t="n">
        <v>13111884</v>
      </c>
      <c r="E7" s="3" t="n">
        <v>22562374</v>
      </c>
      <c r="F7" s="3" t="n">
        <v>2989894</v>
      </c>
      <c r="G7" s="15" t="n">
        <v>226247710</v>
      </c>
    </row>
    <row r="8">
      <c r="A8" s="2" t="inlineStr">
        <is>
          <t>Despesa autorizada 2025 (DESP AUT.)</t>
        </is>
      </c>
      <c r="B8" s="3" t="n">
        <v>292241658</v>
      </c>
      <c r="C8" s="3" t="n">
        <v>21450000</v>
      </c>
      <c r="D8" s="3" t="n">
        <v>13111884</v>
      </c>
      <c r="E8" s="3" t="n">
        <v>32863774</v>
      </c>
      <c r="F8" s="3" t="n">
        <v>18989753.09</v>
      </c>
      <c r="G8" s="15" t="n">
        <v>378657069.09</v>
      </c>
    </row>
    <row r="9">
      <c r="A9" s="16" t="inlineStr">
        <is>
          <t>Empenhado 2025</t>
        </is>
      </c>
      <c r="B9" s="7" t="n">
        <v>292230784.61</v>
      </c>
      <c r="C9" s="7" t="n">
        <v>21439608.89</v>
      </c>
      <c r="D9" s="7" t="n">
        <v>13111884</v>
      </c>
      <c r="E9" s="7" t="n">
        <v>32861021.21</v>
      </c>
      <c r="F9" s="7" t="n">
        <v>18987593</v>
      </c>
      <c r="G9" s="15" t="n">
        <v>378630891.71</v>
      </c>
    </row>
    <row r="10">
      <c r="A10" s="2" t="inlineStr">
        <is>
          <t>Liquidado 2025</t>
        </is>
      </c>
      <c r="B10" s="3" t="n">
        <v>290843673.27</v>
      </c>
      <c r="C10" s="3" t="n">
        <v>21269811.67</v>
      </c>
      <c r="D10" s="3" t="n">
        <v>12701848.29</v>
      </c>
      <c r="E10" s="3" t="n">
        <v>32835652.15</v>
      </c>
      <c r="F10" s="3" t="n">
        <v>18973582.89</v>
      </c>
      <c r="G10" s="15" t="n">
        <v>376624568.27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260036335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260036335</v>
      </c>
    </row>
    <row r="13">
      <c r="A13" s="2" t="inlineStr">
        <is>
          <t>Alterações 2026</t>
        </is>
      </c>
      <c r="B13" s="3" t="n">
        <v>-30098820</v>
      </c>
      <c r="C13" s="3" t="n">
        <v>580000</v>
      </c>
      <c r="D13" s="3" t="n">
        <v>0</v>
      </c>
      <c r="E13" s="3" t="n">
        <v>0</v>
      </c>
      <c r="F13" s="3" t="n">
        <v>0</v>
      </c>
      <c r="G13" s="15" t="n">
        <v>-29518820</v>
      </c>
    </row>
    <row r="14">
      <c r="A14" s="16" t="inlineStr">
        <is>
          <t>Dotação autorizada 2026 (LEI + ALTERAÇÃO)</t>
        </is>
      </c>
      <c r="B14" s="7" t="n">
        <v>229937515</v>
      </c>
      <c r="C14" s="7" t="n">
        <v>580000</v>
      </c>
      <c r="D14" s="7" t="n">
        <v>0</v>
      </c>
      <c r="E14" s="7" t="n">
        <v>0</v>
      </c>
      <c r="F14" s="7" t="n">
        <v>0</v>
      </c>
      <c r="G14" s="15" t="n">
        <v>230517515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229937515</v>
      </c>
      <c r="C17" s="7" t="n">
        <v>580000</v>
      </c>
      <c r="D17" s="7" t="n">
        <v>0</v>
      </c>
      <c r="E17" s="7" t="n">
        <v>0</v>
      </c>
      <c r="F17" s="7" t="n">
        <v>0</v>
      </c>
      <c r="G17" s="15" t="n">
        <v>230517515</v>
      </c>
    </row>
    <row r="18">
      <c r="A18" s="16" t="inlineStr">
        <is>
          <t>Empenhado 2026 (jan–ago fechado)</t>
        </is>
      </c>
      <c r="B18" s="7" t="n">
        <v>229561542.69</v>
      </c>
      <c r="C18" s="7" t="n">
        <v>522135.43</v>
      </c>
      <c r="D18" s="7" t="n">
        <v>0</v>
      </c>
      <c r="E18" s="7" t="n">
        <v>0</v>
      </c>
      <c r="F18" s="7" t="n">
        <v>0</v>
      </c>
      <c r="G18" s="15" t="n">
        <v>230083678.12</v>
      </c>
    </row>
    <row r="19">
      <c r="A19" s="2" t="inlineStr">
        <is>
          <t>Disponível 2026 (saldo)</t>
        </is>
      </c>
      <c r="B19" s="3" t="n">
        <v>375972.31</v>
      </c>
      <c r="C19" s="3" t="n">
        <v>57864.57</v>
      </c>
      <c r="D19" s="3" t="n">
        <v>0</v>
      </c>
      <c r="E19" s="3" t="n">
        <v>0</v>
      </c>
      <c r="F19" s="3" t="n">
        <v>0</v>
      </c>
      <c r="G19" s="15" t="n">
        <v>433836.88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-62293269.61000001</v>
      </c>
      <c r="C21" s="7" t="n">
        <v>-20859608.89</v>
      </c>
      <c r="D21" s="7" t="n">
        <v>-13111884</v>
      </c>
      <c r="E21" s="7" t="n">
        <v>-32861021.21</v>
      </c>
      <c r="F21" s="7" t="n">
        <v>-18987593</v>
      </c>
      <c r="G21" s="15" t="n">
        <v>-148113376.71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210681184.6</v>
      </c>
      <c r="C23" s="3" t="n">
        <v>0</v>
      </c>
      <c r="D23" s="3" t="n">
        <v>0</v>
      </c>
      <c r="E23" s="3" t="n">
        <v>0</v>
      </c>
      <c r="F23" s="3" t="n">
        <v>0</v>
      </c>
      <c r="G23" s="15" t="n">
        <v>210681184.6</v>
      </c>
    </row>
    <row r="24">
      <c r="A24" s="2" t="inlineStr">
        <is>
          <t>Média mensal do liquidado (abr–ago)</t>
        </is>
      </c>
      <c r="B24" s="3" t="n">
        <v>24637369.656</v>
      </c>
      <c r="C24" s="3" t="n">
        <v>0</v>
      </c>
      <c r="D24" s="3" t="n">
        <v>0</v>
      </c>
      <c r="E24" s="3" t="n">
        <v>0</v>
      </c>
      <c r="F24" s="3" t="n">
        <v>0</v>
      </c>
      <c r="G24" s="15" t="n">
        <v>24637369.656</v>
      </c>
    </row>
    <row r="25">
      <c r="A25" s="2" t="inlineStr">
        <is>
          <t>Projeção do liquidado até dez (acum + média × meses restantes)</t>
        </is>
      </c>
      <c r="B25" s="3" t="n">
        <v>309230663.224</v>
      </c>
      <c r="C25" s="3" t="n">
        <v>0</v>
      </c>
      <c r="D25" s="3" t="n">
        <v>0</v>
      </c>
      <c r="E25" s="3" t="n">
        <v>0</v>
      </c>
      <c r="F25" s="3" t="n">
        <v>0</v>
      </c>
      <c r="G25" s="15" t="n">
        <v>309230663.224</v>
      </c>
    </row>
    <row r="26">
      <c r="A26" s="16" t="inlineStr">
        <is>
          <t>Déficit/superávit vs dotação autorizada (LEI+ALT)</t>
        </is>
      </c>
      <c r="B26" s="7" t="n">
        <v>-79293148.22399998</v>
      </c>
      <c r="C26" s="7" t="n">
        <v>580000</v>
      </c>
      <c r="D26" s="7" t="n">
        <v>0</v>
      </c>
      <c r="E26" s="7" t="n">
        <v>0</v>
      </c>
      <c r="F26" s="7" t="n">
        <v>0</v>
      </c>
      <c r="G26" s="15" t="n">
        <v>-78713148.22399998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210681184.6</v>
      </c>
      <c r="C28" s="3" t="n">
        <v>0</v>
      </c>
      <c r="D28" s="3" t="n">
        <v>0</v>
      </c>
      <c r="E28" s="3" t="n">
        <v>0</v>
      </c>
      <c r="F28" s="3" t="n">
        <v>0</v>
      </c>
      <c r="G28" s="15" t="n">
        <v>210681184.6</v>
      </c>
    </row>
    <row r="29">
      <c r="A29" s="2" t="inlineStr">
        <is>
          <t>Mediana mensal do liquidado (abr–ago)</t>
        </is>
      </c>
      <c r="B29" s="3" t="n">
        <v>19706508.46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19706508.46</v>
      </c>
    </row>
    <row r="30">
      <c r="A30" s="2" t="inlineStr">
        <is>
          <t>Projeção do liquidado até dez (acum + mediana × meses restantes)</t>
        </is>
      </c>
      <c r="B30" s="3" t="n">
        <v>289507218.44</v>
      </c>
      <c r="C30" s="3" t="n">
        <v>0</v>
      </c>
      <c r="D30" s="3" t="n">
        <v>0</v>
      </c>
      <c r="E30" s="3" t="n">
        <v>0</v>
      </c>
      <c r="F30" s="3" t="n">
        <v>0</v>
      </c>
      <c r="G30" s="15" t="n">
        <v>289507218.44</v>
      </c>
    </row>
    <row r="31">
      <c r="A31" s="16" t="inlineStr">
        <is>
          <t>Déficit/superávit vs dotação autorizada (LEI+ALT)</t>
        </is>
      </c>
      <c r="B31" s="7" t="n">
        <v>-59569703.44</v>
      </c>
      <c r="C31" s="7" t="n">
        <v>580000</v>
      </c>
      <c r="D31" s="7" t="n">
        <v>0</v>
      </c>
      <c r="E31" s="7" t="n">
        <v>0</v>
      </c>
      <c r="F31" s="7" t="n">
        <v>0</v>
      </c>
      <c r="G31" s="15" t="n">
        <v>-58989703.44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(R$ 230,5 mi) é inferior ao empenhado de 2025 (R$ 378,6 mi), déficit potencial de R$ 148,1 mi caso a demanda repita o exercício anterior.</t>
        </is>
      </c>
    </row>
    <row r="35" ht="18" customHeight="1">
      <c r="A35" s="18" t="inlineStr">
        <is>
          <t>2.  Ritmo de execução: 99,8%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(R$ 309,2 mi) supera a dotação — déficit de R$ 78,7 mi.</t>
        </is>
      </c>
    </row>
    <row r="37" ht="33" customHeight="1">
      <c r="A37" s="18" t="inlineStr">
        <is>
          <t>4.  Comparação 3 (mediana): pela mediana dos 5 meses fechados (abr–ago), a projeção do liquidado até dez (R$ 289,5 mi) supera a dotação — déficit de R$ 59,0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378630891.71</v>
      </c>
    </row>
    <row r="41">
      <c r="A41" s="20" t="inlineStr">
        <is>
          <t>Dotação Autorizada 2026</t>
        </is>
      </c>
      <c r="B41" s="21" t="n">
        <v>230517515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42604368.4</v>
      </c>
      <c r="C44" s="21" t="n">
        <v>230517515</v>
      </c>
    </row>
    <row r="45">
      <c r="A45" s="20" t="inlineStr">
        <is>
          <t>Fev</t>
        </is>
      </c>
      <c r="B45" s="21" t="n">
        <v>44634022.91</v>
      </c>
      <c r="C45" s="21" t="n">
        <v>230517515</v>
      </c>
    </row>
    <row r="46">
      <c r="A46" s="20" t="inlineStr">
        <is>
          <t>Mar</t>
        </is>
      </c>
      <c r="B46" s="21" t="n">
        <v>87494336.31999999</v>
      </c>
      <c r="C46" s="21" t="n">
        <v>230517515</v>
      </c>
    </row>
    <row r="47">
      <c r="A47" s="20" t="inlineStr">
        <is>
          <t>Abr</t>
        </is>
      </c>
      <c r="B47" s="21" t="n">
        <v>90572825.50999999</v>
      </c>
      <c r="C47" s="21" t="n">
        <v>230517515</v>
      </c>
    </row>
    <row r="48">
      <c r="A48" s="20" t="inlineStr">
        <is>
          <t>Mai</t>
        </is>
      </c>
      <c r="B48" s="21" t="n">
        <v>114185200.29</v>
      </c>
      <c r="C48" s="21" t="n">
        <v>230517515</v>
      </c>
    </row>
    <row r="49">
      <c r="A49" s="20" t="inlineStr">
        <is>
          <t>Jun</t>
        </is>
      </c>
      <c r="B49" s="21" t="n">
        <v>181166745.41</v>
      </c>
      <c r="C49" s="21" t="n">
        <v>230517515</v>
      </c>
    </row>
    <row r="50">
      <c r="A50" s="20" t="inlineStr">
        <is>
          <t>Jul</t>
        </is>
      </c>
      <c r="B50" s="21" t="n">
        <v>190974676.14</v>
      </c>
      <c r="C50" s="21" t="n">
        <v>230517515</v>
      </c>
    </row>
    <row r="51">
      <c r="A51" s="20" t="inlineStr">
        <is>
          <t>Ago</t>
        </is>
      </c>
      <c r="B51" s="21" t="n">
        <v>210681184.6</v>
      </c>
      <c r="C51" s="21" t="n">
        <v>230517515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378630891.71</v>
      </c>
    </row>
    <row r="54">
      <c r="A54" s="20" t="inlineStr">
        <is>
          <t>Dotação Autorizada 2026 (tesouro)</t>
        </is>
      </c>
      <c r="B54" s="21" t="n">
        <v>230517515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42604368.4</v>
      </c>
      <c r="C57" s="21" t="n">
        <v>230517515</v>
      </c>
    </row>
    <row r="58">
      <c r="A58" s="20" t="inlineStr">
        <is>
          <t>Fev</t>
        </is>
      </c>
      <c r="B58" s="21" t="n">
        <v>44634022.91</v>
      </c>
      <c r="C58" s="21" t="n">
        <v>230517515</v>
      </c>
    </row>
    <row r="59">
      <c r="A59" s="20" t="inlineStr">
        <is>
          <t>Mar</t>
        </is>
      </c>
      <c r="B59" s="21" t="n">
        <v>87494336.31999999</v>
      </c>
      <c r="C59" s="21" t="n">
        <v>230517515</v>
      </c>
    </row>
    <row r="60">
      <c r="A60" s="20" t="inlineStr">
        <is>
          <t>Abr</t>
        </is>
      </c>
      <c r="B60" s="21" t="n">
        <v>90572825.50999999</v>
      </c>
      <c r="C60" s="21" t="n">
        <v>230517515</v>
      </c>
    </row>
    <row r="61">
      <c r="A61" s="20" t="inlineStr">
        <is>
          <t>Mai</t>
        </is>
      </c>
      <c r="B61" s="21" t="n">
        <v>114185200.29</v>
      </c>
      <c r="C61" s="21" t="n">
        <v>230517515</v>
      </c>
    </row>
    <row r="62">
      <c r="A62" s="20" t="inlineStr">
        <is>
          <t>Jun</t>
        </is>
      </c>
      <c r="B62" s="21" t="n">
        <v>181166745.41</v>
      </c>
      <c r="C62" s="21" t="n">
        <v>230517515</v>
      </c>
    </row>
    <row r="63">
      <c r="A63" s="20" t="inlineStr">
        <is>
          <t>Jul</t>
        </is>
      </c>
      <c r="B63" s="21" t="n">
        <v>190974676.14</v>
      </c>
      <c r="C63" s="21" t="n">
        <v>230517515</v>
      </c>
    </row>
    <row r="64">
      <c r="A64" s="20" t="inlineStr">
        <is>
          <t>Ago</t>
        </is>
      </c>
      <c r="B64" s="21" t="n">
        <v>210681184.6</v>
      </c>
      <c r="C64" s="21" t="n">
        <v>230517515</v>
      </c>
    </row>
  </sheetData>
  <mergeCells count="5">
    <mergeCell ref="A36:G36"/>
    <mergeCell ref="A34:G34"/>
    <mergeCell ref="A35:G35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Passe Livre — Consolidado (Ação 4202)</t>
        </is>
      </c>
    </row>
    <row r="2">
      <c r="A2" s="10" t="inlineStr">
        <is>
          <t>Consolida os PTs de Passe Livre da Ação 4202 | 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</row>
    <row r="6">
      <c r="A6" s="2" t="inlineStr">
        <is>
          <t>Dotação inicial (LEI) 2025</t>
        </is>
      </c>
      <c r="B6" s="3" t="n">
        <v>339156324</v>
      </c>
      <c r="C6" s="3" t="n">
        <v>0</v>
      </c>
      <c r="D6" s="15" t="n">
        <v>339156324</v>
      </c>
    </row>
    <row r="7">
      <c r="A7" s="2" t="inlineStr">
        <is>
          <t>Alterações 2025</t>
        </is>
      </c>
      <c r="B7" s="3" t="n">
        <v>554077755</v>
      </c>
      <c r="C7" s="3" t="n">
        <v>14000000</v>
      </c>
      <c r="D7" s="15" t="n">
        <v>568077755</v>
      </c>
    </row>
    <row r="8">
      <c r="A8" s="2" t="inlineStr">
        <is>
          <t>Despesa autorizada 2025 (DESP AUT.)</t>
        </is>
      </c>
      <c r="B8" s="3" t="n">
        <v>893234078.0699999</v>
      </c>
      <c r="C8" s="3" t="n">
        <v>14000000</v>
      </c>
      <c r="D8" s="15" t="n">
        <v>907234078.0699999</v>
      </c>
    </row>
    <row r="9">
      <c r="A9" s="16" t="inlineStr">
        <is>
          <t>Empenhado 2025</t>
        </is>
      </c>
      <c r="B9" s="7" t="n">
        <v>889250211.85</v>
      </c>
      <c r="C9" s="7" t="n">
        <v>14000000</v>
      </c>
      <c r="D9" s="15" t="n">
        <v>903250211.85</v>
      </c>
    </row>
    <row r="10">
      <c r="A10" s="2" t="inlineStr">
        <is>
          <t>Liquidado 2025</t>
        </is>
      </c>
      <c r="B10" s="3" t="n">
        <v>886832709.35</v>
      </c>
      <c r="C10" s="3" t="n">
        <v>14000000</v>
      </c>
      <c r="D10" s="15" t="n">
        <v>900832709.35</v>
      </c>
    </row>
    <row r="11">
      <c r="A11" s="13" t="inlineStr">
        <is>
          <t>ORÇAMENTO 2026 (posição do arquivo)</t>
        </is>
      </c>
      <c r="B11" s="14" t="n"/>
      <c r="C11" s="14" t="n"/>
      <c r="D11" s="14" t="n"/>
    </row>
    <row r="12">
      <c r="A12" s="2" t="inlineStr">
        <is>
          <t>Dotação inicial (LEI) 2026</t>
        </is>
      </c>
      <c r="B12" s="3" t="n">
        <v>225758724</v>
      </c>
      <c r="C12" s="3" t="n">
        <v>0</v>
      </c>
      <c r="D12" s="15" t="n">
        <v>225758724</v>
      </c>
    </row>
    <row r="13">
      <c r="A13" s="2" t="inlineStr">
        <is>
          <t>Alterações 2026</t>
        </is>
      </c>
      <c r="B13" s="3" t="n">
        <v>57819142</v>
      </c>
      <c r="C13" s="3" t="n">
        <v>0</v>
      </c>
      <c r="D13" s="15" t="n">
        <v>57819142</v>
      </c>
    </row>
    <row r="14">
      <c r="A14" s="16" t="inlineStr">
        <is>
          <t>Dotação autorizada 2026 (LEI + ALTERAÇÃO)</t>
        </is>
      </c>
      <c r="B14" s="7" t="n">
        <v>283577866</v>
      </c>
      <c r="C14" s="7" t="n">
        <v>0</v>
      </c>
      <c r="D14" s="15" t="n">
        <v>283577866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15" t="n">
        <v>0</v>
      </c>
    </row>
    <row r="16">
      <c r="A16" s="2" t="inlineStr">
        <is>
          <t>Contingenciado 2026</t>
        </is>
      </c>
      <c r="B16" s="3" t="n">
        <v>42901.45</v>
      </c>
      <c r="C16" s="3" t="n">
        <v>0</v>
      </c>
      <c r="D16" s="15" t="n">
        <v>42901.45</v>
      </c>
    </row>
    <row r="17">
      <c r="A17" s="16" t="inlineStr">
        <is>
          <t>Despesa autorizada 2026 (DESP AUT.)</t>
        </is>
      </c>
      <c r="B17" s="7" t="n">
        <v>283534964.55</v>
      </c>
      <c r="C17" s="7" t="n">
        <v>0</v>
      </c>
      <c r="D17" s="15" t="n">
        <v>283534964.55</v>
      </c>
    </row>
    <row r="18">
      <c r="A18" s="16" t="inlineStr">
        <is>
          <t>Empenhado 2026 (jan–ago fechado)</t>
        </is>
      </c>
      <c r="B18" s="7" t="n">
        <v>274204645.11</v>
      </c>
      <c r="C18" s="7" t="n">
        <v>0</v>
      </c>
      <c r="D18" s="15" t="n">
        <v>274204645.11</v>
      </c>
    </row>
    <row r="19">
      <c r="A19" s="2" t="inlineStr">
        <is>
          <t>Disponível 2026 (saldo)</t>
        </is>
      </c>
      <c r="B19" s="3" t="n">
        <v>9330319.439999999</v>
      </c>
      <c r="C19" s="3" t="n">
        <v>0</v>
      </c>
      <c r="D19" s="15" t="n">
        <v>9330319.439999999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</row>
    <row r="21">
      <c r="A21" s="16" t="inlineStr">
        <is>
          <t>Déficit/superávit vs dotação autorizada (LEI+ALT)</t>
        </is>
      </c>
      <c r="B21" s="7" t="n">
        <v>-605672345.85</v>
      </c>
      <c r="C21" s="7" t="n">
        <v>-14000000</v>
      </c>
      <c r="D21" s="15" t="n">
        <v>-619672345.85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</row>
    <row r="23">
      <c r="A23" s="2" t="inlineStr">
        <is>
          <t>Liquidado acumulado 2026 (jan–ago)</t>
        </is>
      </c>
      <c r="B23" s="3" t="n">
        <v>270813481.02</v>
      </c>
      <c r="C23" s="3" t="n">
        <v>0</v>
      </c>
      <c r="D23" s="15" t="n">
        <v>270813481.02</v>
      </c>
    </row>
    <row r="24">
      <c r="A24" s="2" t="inlineStr">
        <is>
          <t>Média mensal do liquidado (abr–ago)</t>
        </is>
      </c>
      <c r="B24" s="3" t="n">
        <v>22395231.05</v>
      </c>
      <c r="C24" s="3" t="n">
        <v>0</v>
      </c>
      <c r="D24" s="15" t="n">
        <v>22395231.05</v>
      </c>
    </row>
    <row r="25">
      <c r="A25" s="2" t="inlineStr">
        <is>
          <t>Projeção do liquidado até dez (acum + média × meses restantes)</t>
        </is>
      </c>
      <c r="B25" s="3" t="n">
        <v>360394405.22</v>
      </c>
      <c r="C25" s="3" t="n">
        <v>0</v>
      </c>
      <c r="D25" s="15" t="n">
        <v>360394405.22</v>
      </c>
    </row>
    <row r="26">
      <c r="A26" s="16" t="inlineStr">
        <is>
          <t>Déficit/superávit vs dotação autorizada (LEI+ALT)</t>
        </is>
      </c>
      <c r="B26" s="7" t="n">
        <v>-76816539.21999997</v>
      </c>
      <c r="C26" s="7" t="n">
        <v>0</v>
      </c>
      <c r="D26" s="15" t="n">
        <v>-76816539.21999997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</row>
    <row r="28">
      <c r="A28" s="2" t="inlineStr">
        <is>
          <t>Liquidado acumulado 2026 (jan–ago)</t>
        </is>
      </c>
      <c r="B28" s="3" t="n">
        <v>270813481.02</v>
      </c>
      <c r="C28" s="3" t="n">
        <v>0</v>
      </c>
      <c r="D28" s="15" t="n">
        <v>270813481.02</v>
      </c>
    </row>
    <row r="29">
      <c r="A29" s="2" t="inlineStr">
        <is>
          <t>Mediana mensal do liquidado (abr–ago)</t>
        </is>
      </c>
      <c r="B29" s="3" t="n">
        <v>22044039.12</v>
      </c>
      <c r="C29" s="3" t="n">
        <v>0</v>
      </c>
      <c r="D29" s="15" t="n">
        <v>22044039.12</v>
      </c>
    </row>
    <row r="30">
      <c r="A30" s="2" t="inlineStr">
        <is>
          <t>Projeção do liquidado até dez (acum + mediana × meses restantes)</t>
        </is>
      </c>
      <c r="B30" s="3" t="n">
        <v>358989637.5</v>
      </c>
      <c r="C30" s="3" t="n">
        <v>0</v>
      </c>
      <c r="D30" s="15" t="n">
        <v>358989637.5</v>
      </c>
    </row>
    <row r="31">
      <c r="A31" s="16" t="inlineStr">
        <is>
          <t>Déficit/superávit vs dotação autorizada (LEI+ALT)</t>
        </is>
      </c>
      <c r="B31" s="7" t="n">
        <v>-75411771.5</v>
      </c>
      <c r="C31" s="7" t="n">
        <v>0</v>
      </c>
      <c r="D31" s="15" t="n">
        <v>-75411771.5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Consolidação: esta aba agrega os programas da Ação 4202 — 12.361.6221.4202.0004, 12.453.6221.4202.0010, 26.453.6216.4202.0002. Valores somados por fonte de recursos.</t>
        </is>
      </c>
    </row>
    <row r="35" ht="33" customHeight="1">
      <c r="A35" s="18" t="inlineStr">
        <is>
          <t>2.  Comparação 1: a dotação autorizada 2026 (R$ 283,6 mi) é inferior ao empenhado de 2025 (R$ 903,3 mi), déficit potencial de R$ 619,7 mi caso a demanda repita o exercício anterior.</t>
        </is>
      </c>
    </row>
    <row r="36" ht="18" customHeight="1">
      <c r="A36" s="18" t="inlineStr">
        <is>
          <t>3.  Ritmo de execução: 96,7%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(R$ 360,4 mi) supera a dotação — déficit de R$ 76,8 mi.</t>
        </is>
      </c>
    </row>
    <row r="38" ht="33" customHeight="1">
      <c r="A38" s="18" t="inlineStr">
        <is>
          <t>5.  Comparação 3 (mediana): pela mediana dos 5 meses fechados (abr–ago), a projeção do liquidado até dez (R$ 359,0 mi) supera a dotação — déficit de R$ 75,4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903250211.85</v>
      </c>
    </row>
    <row r="42">
      <c r="A42" s="20" t="inlineStr">
        <is>
          <t>Dotação Autorizada 2026</t>
        </is>
      </c>
      <c r="B42" s="21" t="n">
        <v>283577866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67778303.19</v>
      </c>
      <c r="C45" s="21" t="n">
        <v>283577866</v>
      </c>
    </row>
    <row r="46">
      <c r="A46" s="20" t="inlineStr">
        <is>
          <t>Fev</t>
        </is>
      </c>
      <c r="B46" s="21" t="n">
        <v>85929109.25</v>
      </c>
      <c r="C46" s="21" t="n">
        <v>283577866</v>
      </c>
    </row>
    <row r="47">
      <c r="A47" s="20" t="inlineStr">
        <is>
          <t>Mar</t>
        </is>
      </c>
      <c r="B47" s="21" t="n">
        <v>158837325.77</v>
      </c>
      <c r="C47" s="21" t="n">
        <v>283577866</v>
      </c>
    </row>
    <row r="48">
      <c r="A48" s="20" t="inlineStr">
        <is>
          <t>Abr</t>
        </is>
      </c>
      <c r="B48" s="21" t="n">
        <v>190891617.89</v>
      </c>
      <c r="C48" s="21" t="n">
        <v>283577866</v>
      </c>
    </row>
    <row r="49">
      <c r="A49" s="20" t="inlineStr">
        <is>
          <t>Mai</t>
        </is>
      </c>
      <c r="B49" s="21" t="n">
        <v>202707296.77</v>
      </c>
      <c r="C49" s="21" t="n">
        <v>283577866</v>
      </c>
    </row>
    <row r="50">
      <c r="A50" s="20" t="inlineStr">
        <is>
          <t>Jun</t>
        </is>
      </c>
      <c r="B50" s="21" t="n">
        <v>223412789.94</v>
      </c>
      <c r="C50" s="21" t="n">
        <v>283577866</v>
      </c>
    </row>
    <row r="51">
      <c r="A51" s="20" t="inlineStr">
        <is>
          <t>Jul</t>
        </is>
      </c>
      <c r="B51" s="21" t="n">
        <v>248769441.9</v>
      </c>
      <c r="C51" s="21" t="n">
        <v>283577866</v>
      </c>
    </row>
    <row r="52">
      <c r="A52" s="20" t="inlineStr">
        <is>
          <t>Ago</t>
        </is>
      </c>
      <c r="B52" s="21" t="n">
        <v>270813481.02</v>
      </c>
      <c r="C52" s="21" t="n">
        <v>283577866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903250211.85</v>
      </c>
    </row>
    <row r="55">
      <c r="A55" s="20" t="inlineStr">
        <is>
          <t>Dotação Autorizada 2026 (tesouro)</t>
        </is>
      </c>
      <c r="B55" s="21" t="n">
        <v>283577866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67778303.19</v>
      </c>
      <c r="C58" s="21" t="n">
        <v>283577866</v>
      </c>
    </row>
    <row r="59">
      <c r="A59" s="20" t="inlineStr">
        <is>
          <t>Fev</t>
        </is>
      </c>
      <c r="B59" s="21" t="n">
        <v>85929109.25</v>
      </c>
      <c r="C59" s="21" t="n">
        <v>283577866</v>
      </c>
    </row>
    <row r="60">
      <c r="A60" s="20" t="inlineStr">
        <is>
          <t>Mar</t>
        </is>
      </c>
      <c r="B60" s="21" t="n">
        <v>158837325.77</v>
      </c>
      <c r="C60" s="21" t="n">
        <v>283577866</v>
      </c>
    </row>
    <row r="61">
      <c r="A61" s="20" t="inlineStr">
        <is>
          <t>Abr</t>
        </is>
      </c>
      <c r="B61" s="21" t="n">
        <v>190891617.89</v>
      </c>
      <c r="C61" s="21" t="n">
        <v>283577866</v>
      </c>
    </row>
    <row r="62">
      <c r="A62" s="20" t="inlineStr">
        <is>
          <t>Mai</t>
        </is>
      </c>
      <c r="B62" s="21" t="n">
        <v>202707296.77</v>
      </c>
      <c r="C62" s="21" t="n">
        <v>283577866</v>
      </c>
    </row>
    <row r="63">
      <c r="A63" s="20" t="inlineStr">
        <is>
          <t>Jun</t>
        </is>
      </c>
      <c r="B63" s="21" t="n">
        <v>223412789.94</v>
      </c>
      <c r="C63" s="21" t="n">
        <v>283577866</v>
      </c>
    </row>
    <row r="64">
      <c r="A64" s="20" t="inlineStr">
        <is>
          <t>Jul</t>
        </is>
      </c>
      <c r="B64" s="21" t="n">
        <v>248769441.9</v>
      </c>
      <c r="C64" s="21" t="n">
        <v>283577866</v>
      </c>
    </row>
    <row r="65">
      <c r="A65" s="20" t="inlineStr">
        <is>
          <t>Ago</t>
        </is>
      </c>
      <c r="B65" s="21" t="n">
        <v>270813481.02</v>
      </c>
      <c r="C65" s="21" t="n">
        <v>283577866</v>
      </c>
    </row>
  </sheetData>
  <mergeCells count="6">
    <mergeCell ref="A37:D37"/>
    <mergeCell ref="A34:D34"/>
    <mergeCell ref="A35:D35"/>
    <mergeCell ref="A38:D38"/>
    <mergeCell ref="A33:D33"/>
    <mergeCell ref="A36:D36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06.422.6217.2540.0002 — SEAPE — Fornecimento de Alimentação aos Presidiários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40000000</v>
      </c>
      <c r="C6" s="3" t="n">
        <v>0</v>
      </c>
      <c r="D6" s="3" t="n">
        <v>0</v>
      </c>
      <c r="E6" s="15" t="n">
        <v>40000000</v>
      </c>
    </row>
    <row r="7">
      <c r="A7" s="2" t="inlineStr">
        <is>
          <t>Alterações 2025</t>
        </is>
      </c>
      <c r="B7" s="3" t="n">
        <v>21304869</v>
      </c>
      <c r="C7" s="3" t="n">
        <v>14300000</v>
      </c>
      <c r="D7" s="3" t="n">
        <v>0</v>
      </c>
      <c r="E7" s="15" t="n">
        <v>35604869</v>
      </c>
    </row>
    <row r="8">
      <c r="A8" s="2" t="inlineStr">
        <is>
          <t>Despesa autorizada 2025 (DESP AUT.)</t>
        </is>
      </c>
      <c r="B8" s="3" t="n">
        <v>61304869</v>
      </c>
      <c r="C8" s="3" t="n">
        <v>14300000</v>
      </c>
      <c r="D8" s="3" t="n">
        <v>0</v>
      </c>
      <c r="E8" s="15" t="n">
        <v>75604869</v>
      </c>
    </row>
    <row r="9">
      <c r="A9" s="16" t="inlineStr">
        <is>
          <t>Empenhado 2025</t>
        </is>
      </c>
      <c r="B9" s="7" t="n">
        <v>61275302.54</v>
      </c>
      <c r="C9" s="7" t="n">
        <v>13973449.61</v>
      </c>
      <c r="D9" s="7" t="n">
        <v>0</v>
      </c>
      <c r="E9" s="15" t="n">
        <v>75248752.15000001</v>
      </c>
    </row>
    <row r="10">
      <c r="A10" s="2" t="inlineStr">
        <is>
          <t>Liquidado 2025</t>
        </is>
      </c>
      <c r="B10" s="3" t="n">
        <v>60030056.74</v>
      </c>
      <c r="C10" s="3" t="n">
        <v>13702417.65</v>
      </c>
      <c r="D10" s="3" t="n">
        <v>0</v>
      </c>
      <c r="E10" s="15" t="n">
        <v>73732474.39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60000000</v>
      </c>
      <c r="C12" s="3" t="n">
        <v>0</v>
      </c>
      <c r="D12" s="3" t="n">
        <v>0</v>
      </c>
      <c r="E12" s="15" t="n">
        <v>60000000</v>
      </c>
    </row>
    <row r="13">
      <c r="A13" s="2" t="inlineStr">
        <is>
          <t>Alterações 2026</t>
        </is>
      </c>
      <c r="B13" s="3" t="n">
        <v>21547225</v>
      </c>
      <c r="C13" s="3" t="n">
        <v>0</v>
      </c>
      <c r="D13" s="3" t="n">
        <v>1032775</v>
      </c>
      <c r="E13" s="15" t="n">
        <v>22580000</v>
      </c>
    </row>
    <row r="14">
      <c r="A14" s="16" t="inlineStr">
        <is>
          <t>Dotação autorizada 2026 (LEI + ALTERAÇÃO)</t>
        </is>
      </c>
      <c r="B14" s="7" t="n">
        <v>81547225</v>
      </c>
      <c r="C14" s="7" t="n">
        <v>0</v>
      </c>
      <c r="D14" s="7" t="n">
        <v>1032775</v>
      </c>
      <c r="E14" s="15" t="n">
        <v>82580000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15" t="n">
        <v>0</v>
      </c>
    </row>
    <row r="16">
      <c r="A16" s="2" t="inlineStr">
        <is>
          <t>Contingenciado 2026</t>
        </is>
      </c>
      <c r="B16" s="3" t="n">
        <v>1.18</v>
      </c>
      <c r="C16" s="3" t="n">
        <v>0</v>
      </c>
      <c r="D16" s="3" t="n">
        <v>0</v>
      </c>
      <c r="E16" s="15" t="n">
        <v>1.18</v>
      </c>
    </row>
    <row r="17">
      <c r="A17" s="16" t="inlineStr">
        <is>
          <t>Despesa autorizada 2026 (DESP AUT.)</t>
        </is>
      </c>
      <c r="B17" s="7" t="n">
        <v>81547223.81999999</v>
      </c>
      <c r="C17" s="7" t="n">
        <v>0</v>
      </c>
      <c r="D17" s="7" t="n">
        <v>1032775</v>
      </c>
      <c r="E17" s="15" t="n">
        <v>82579998.81999999</v>
      </c>
    </row>
    <row r="18">
      <c r="A18" s="16" t="inlineStr">
        <is>
          <t>Empenhado 2026 (jan–ago fechado)</t>
        </is>
      </c>
      <c r="B18" s="7" t="n">
        <v>81547162.37</v>
      </c>
      <c r="C18" s="7" t="n">
        <v>0</v>
      </c>
      <c r="D18" s="7" t="n">
        <v>1032775</v>
      </c>
      <c r="E18" s="15" t="n">
        <v>82579937.37</v>
      </c>
    </row>
    <row r="19">
      <c r="A19" s="2" t="inlineStr">
        <is>
          <t>Disponível 2026 (saldo)</t>
        </is>
      </c>
      <c r="B19" s="3" t="n">
        <v>61.45</v>
      </c>
      <c r="C19" s="3" t="n">
        <v>0</v>
      </c>
      <c r="D19" s="3" t="n">
        <v>0</v>
      </c>
      <c r="E19" s="15" t="n">
        <v>61.45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20271922.46</v>
      </c>
      <c r="C21" s="7" t="n">
        <v>-13973449.61</v>
      </c>
      <c r="D21" s="7" t="n">
        <v>1032775</v>
      </c>
      <c r="E21" s="15" t="n">
        <v>7331247.850000001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77219461.7</v>
      </c>
      <c r="C23" s="3" t="n">
        <v>0</v>
      </c>
      <c r="D23" s="3" t="n">
        <v>1032775</v>
      </c>
      <c r="E23" s="15" t="n">
        <v>78252236.7</v>
      </c>
    </row>
    <row r="24">
      <c r="A24" s="2" t="inlineStr">
        <is>
          <t>Média mensal do liquidado (abr–ago)</t>
        </is>
      </c>
      <c r="B24" s="3" t="n">
        <v>10405162.22</v>
      </c>
      <c r="C24" s="3" t="n">
        <v>0</v>
      </c>
      <c r="D24" s="3" t="n">
        <v>206555</v>
      </c>
      <c r="E24" s="15" t="n">
        <v>10611717.22</v>
      </c>
    </row>
    <row r="25">
      <c r="A25" s="2" t="inlineStr">
        <is>
          <t>Projeção do liquidado até dez (acum + média × meses restantes)</t>
        </is>
      </c>
      <c r="B25" s="3" t="n">
        <v>118840110.58</v>
      </c>
      <c r="C25" s="3" t="n">
        <v>0</v>
      </c>
      <c r="D25" s="3" t="n">
        <v>1858995</v>
      </c>
      <c r="E25" s="15" t="n">
        <v>120699105.58</v>
      </c>
    </row>
    <row r="26">
      <c r="A26" s="16" t="inlineStr">
        <is>
          <t>Déficit/superávit vs dotação autorizada (LEI+ALT)</t>
        </is>
      </c>
      <c r="B26" s="7" t="n">
        <v>-37292885.58000001</v>
      </c>
      <c r="C26" s="7" t="n">
        <v>0</v>
      </c>
      <c r="D26" s="7" t="n">
        <v>-826220</v>
      </c>
      <c r="E26" s="15" t="n">
        <v>-38119105.58000001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77219461.7</v>
      </c>
      <c r="C28" s="3" t="n">
        <v>0</v>
      </c>
      <c r="D28" s="3" t="n">
        <v>1032775</v>
      </c>
      <c r="E28" s="15" t="n">
        <v>78252236.7</v>
      </c>
    </row>
    <row r="29">
      <c r="A29" s="2" t="inlineStr">
        <is>
          <t>Mediana mensal do liquidado (abr–ago)</t>
        </is>
      </c>
      <c r="B29" s="3" t="n">
        <v>10724183.93</v>
      </c>
      <c r="C29" s="3" t="n">
        <v>0</v>
      </c>
      <c r="D29" s="3" t="n">
        <v>0</v>
      </c>
      <c r="E29" s="15" t="n">
        <v>10724183.93</v>
      </c>
    </row>
    <row r="30">
      <c r="A30" s="2" t="inlineStr">
        <is>
          <t>Projeção do liquidado até dez (acum + mediana × meses restantes)</t>
        </is>
      </c>
      <c r="B30" s="3" t="n">
        <v>120116197.42</v>
      </c>
      <c r="C30" s="3" t="n">
        <v>0</v>
      </c>
      <c r="D30" s="3" t="n">
        <v>1032775</v>
      </c>
      <c r="E30" s="15" t="n">
        <v>121148972.42</v>
      </c>
    </row>
    <row r="31">
      <c r="A31" s="16" t="inlineStr">
        <is>
          <t>Déficit/superávit vs dotação autorizada (LEI+ALT)</t>
        </is>
      </c>
      <c r="B31" s="7" t="n">
        <v>-38568972.42</v>
      </c>
      <c r="C31" s="7" t="n">
        <v>0</v>
      </c>
      <c r="D31" s="7" t="n">
        <v>0</v>
      </c>
      <c r="E31" s="15" t="n">
        <v>-38568972.42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(R$ 82,6 mi) supera o empenhado de 2025 (R$ 75,2 mi), folga de R$ 7,3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(R$ 120,7 mi) supera a dotação — déficit de R$ 38,1 mi.</t>
        </is>
      </c>
    </row>
    <row r="37" ht="33" customHeight="1">
      <c r="A37" s="18" t="inlineStr">
        <is>
          <t>4.  Comparação 3 (mediana): pela mediana dos 5 meses fechados (abr–ago), a projeção do liquidado até dez (R$ 121,1 mi) supera a dotação — déficit de R$ 38,6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75248752.15000001</v>
      </c>
    </row>
    <row r="41">
      <c r="A41" s="20" t="inlineStr">
        <is>
          <t>Dotação Autorizada 2026</t>
        </is>
      </c>
      <c r="B41" s="21" t="n">
        <v>82580000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6187675.78</v>
      </c>
      <c r="C44" s="21" t="n">
        <v>82580000</v>
      </c>
    </row>
    <row r="45">
      <c r="A45" s="20" t="inlineStr">
        <is>
          <t>Fev</t>
        </is>
      </c>
      <c r="B45" s="21" t="n">
        <v>13850006.2</v>
      </c>
      <c r="C45" s="21" t="n">
        <v>82580000</v>
      </c>
    </row>
    <row r="46">
      <c r="A46" s="20" t="inlineStr">
        <is>
          <t>Mar</t>
        </is>
      </c>
      <c r="B46" s="21" t="n">
        <v>25193650.6</v>
      </c>
      <c r="C46" s="21" t="n">
        <v>82580000</v>
      </c>
    </row>
    <row r="47">
      <c r="A47" s="20" t="inlineStr">
        <is>
          <t>Abr</t>
        </is>
      </c>
      <c r="B47" s="21" t="n">
        <v>40201494.82</v>
      </c>
      <c r="C47" s="21" t="n">
        <v>82580000</v>
      </c>
    </row>
    <row r="48">
      <c r="A48" s="20" t="inlineStr">
        <is>
          <t>Mai</t>
        </is>
      </c>
      <c r="B48" s="21" t="n">
        <v>40201494.82</v>
      </c>
      <c r="C48" s="21" t="n">
        <v>82580000</v>
      </c>
    </row>
    <row r="49">
      <c r="A49" s="20" t="inlineStr">
        <is>
          <t>Jun</t>
        </is>
      </c>
      <c r="B49" s="21" t="n">
        <v>50441734.54</v>
      </c>
      <c r="C49" s="21" t="n">
        <v>82580000</v>
      </c>
    </row>
    <row r="50">
      <c r="A50" s="20" t="inlineStr">
        <is>
          <t>Jul</t>
        </is>
      </c>
      <c r="B50" s="21" t="n">
        <v>61165918.47</v>
      </c>
      <c r="C50" s="21" t="n">
        <v>82580000</v>
      </c>
    </row>
    <row r="51">
      <c r="A51" s="20" t="inlineStr">
        <is>
          <t>Ago</t>
        </is>
      </c>
      <c r="B51" s="21" t="n">
        <v>78252236.7</v>
      </c>
      <c r="C51" s="21" t="n">
        <v>82580000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75248752.15000001</v>
      </c>
    </row>
    <row r="54">
      <c r="A54" s="20" t="inlineStr">
        <is>
          <t>Dotação Autorizada 2026 (tesouro)</t>
        </is>
      </c>
      <c r="B54" s="21" t="n">
        <v>82580000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6187675.78</v>
      </c>
      <c r="C57" s="21" t="n">
        <v>82580000</v>
      </c>
    </row>
    <row r="58">
      <c r="A58" s="20" t="inlineStr">
        <is>
          <t>Fev</t>
        </is>
      </c>
      <c r="B58" s="21" t="n">
        <v>13850006.2</v>
      </c>
      <c r="C58" s="21" t="n">
        <v>82580000</v>
      </c>
    </row>
    <row r="59">
      <c r="A59" s="20" t="inlineStr">
        <is>
          <t>Mar</t>
        </is>
      </c>
      <c r="B59" s="21" t="n">
        <v>25193650.6</v>
      </c>
      <c r="C59" s="21" t="n">
        <v>82580000</v>
      </c>
    </row>
    <row r="60">
      <c r="A60" s="20" t="inlineStr">
        <is>
          <t>Abr</t>
        </is>
      </c>
      <c r="B60" s="21" t="n">
        <v>40201494.82</v>
      </c>
      <c r="C60" s="21" t="n">
        <v>82580000</v>
      </c>
    </row>
    <row r="61">
      <c r="A61" s="20" t="inlineStr">
        <is>
          <t>Mai</t>
        </is>
      </c>
      <c r="B61" s="21" t="n">
        <v>40201494.82</v>
      </c>
      <c r="C61" s="21" t="n">
        <v>82580000</v>
      </c>
    </row>
    <row r="62">
      <c r="A62" s="20" t="inlineStr">
        <is>
          <t>Jun</t>
        </is>
      </c>
      <c r="B62" s="21" t="n">
        <v>50441734.54</v>
      </c>
      <c r="C62" s="21" t="n">
        <v>82580000</v>
      </c>
    </row>
    <row r="63">
      <c r="A63" s="20" t="inlineStr">
        <is>
          <t>Jul</t>
        </is>
      </c>
      <c r="B63" s="21" t="n">
        <v>61165918.47</v>
      </c>
      <c r="C63" s="21" t="n">
        <v>82580000</v>
      </c>
    </row>
    <row r="64">
      <c r="A64" s="20" t="inlineStr">
        <is>
          <t>Ago</t>
        </is>
      </c>
      <c r="B64" s="21" t="n">
        <v>78252236.7</v>
      </c>
      <c r="C64" s="21" t="n">
        <v>82580000</v>
      </c>
    </row>
  </sheetData>
  <mergeCells count="5">
    <mergeCell ref="A34:E34"/>
    <mergeCell ref="A35:E35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06.421.6217.2727.0006 — SEAPE — Manutenção do Sistema Penitenciário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30093116</v>
      </c>
      <c r="C6" s="3" t="n">
        <v>0</v>
      </c>
      <c r="D6" s="3" t="n">
        <v>0</v>
      </c>
      <c r="E6" s="15" t="n">
        <v>30093116</v>
      </c>
    </row>
    <row r="7">
      <c r="A7" s="2" t="inlineStr">
        <is>
          <t>Alterações 2025</t>
        </is>
      </c>
      <c r="B7" s="3" t="n">
        <v>25237656</v>
      </c>
      <c r="C7" s="3" t="n">
        <v>12500000</v>
      </c>
      <c r="D7" s="3" t="n">
        <v>2012000</v>
      </c>
      <c r="E7" s="15" t="n">
        <v>39749656</v>
      </c>
    </row>
    <row r="8">
      <c r="A8" s="2" t="inlineStr">
        <is>
          <t>Despesa autorizada 2025 (DESP AUT.)</t>
        </is>
      </c>
      <c r="B8" s="3" t="n">
        <v>55330771.30999999</v>
      </c>
      <c r="C8" s="3" t="n">
        <v>12500000</v>
      </c>
      <c r="D8" s="3" t="n">
        <v>2012000</v>
      </c>
      <c r="E8" s="15" t="n">
        <v>69842771.31</v>
      </c>
    </row>
    <row r="9">
      <c r="A9" s="16" t="inlineStr">
        <is>
          <t>Empenhado 2025</t>
        </is>
      </c>
      <c r="B9" s="7" t="n">
        <v>55117679.62</v>
      </c>
      <c r="C9" s="7" t="n">
        <v>12255059.2</v>
      </c>
      <c r="D9" s="7" t="n">
        <v>2012000</v>
      </c>
      <c r="E9" s="15" t="n">
        <v>69384738.82000001</v>
      </c>
    </row>
    <row r="10">
      <c r="A10" s="2" t="inlineStr">
        <is>
          <t>Liquidado 2025</t>
        </is>
      </c>
      <c r="B10" s="3" t="n">
        <v>54471668.88</v>
      </c>
      <c r="C10" s="3" t="n">
        <v>11135971.32</v>
      </c>
      <c r="D10" s="3" t="n">
        <v>2000000</v>
      </c>
      <c r="E10" s="15" t="n">
        <v>67607640.19999999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57000000</v>
      </c>
      <c r="C12" s="3" t="n">
        <v>0</v>
      </c>
      <c r="D12" s="3" t="n">
        <v>0</v>
      </c>
      <c r="E12" s="15" t="n">
        <v>57000000</v>
      </c>
    </row>
    <row r="13">
      <c r="A13" s="2" t="inlineStr">
        <is>
          <t>Alterações 2026</t>
        </is>
      </c>
      <c r="B13" s="3" t="n">
        <v>-379547</v>
      </c>
      <c r="C13" s="3" t="n">
        <v>0</v>
      </c>
      <c r="D13" s="3" t="n">
        <v>0</v>
      </c>
      <c r="E13" s="15" t="n">
        <v>-379547</v>
      </c>
    </row>
    <row r="14">
      <c r="A14" s="16" t="inlineStr">
        <is>
          <t>Dotação autorizada 2026 (LEI + ALTERAÇÃO)</t>
        </is>
      </c>
      <c r="B14" s="7" t="n">
        <v>56620453</v>
      </c>
      <c r="C14" s="7" t="n">
        <v>0</v>
      </c>
      <c r="D14" s="7" t="n">
        <v>0</v>
      </c>
      <c r="E14" s="15" t="n">
        <v>56620453</v>
      </c>
    </row>
    <row r="15">
      <c r="A15" s="2" t="inlineStr">
        <is>
          <t>Cota a liberar 2026</t>
        </is>
      </c>
      <c r="B15" s="3" t="n">
        <v>3056991.16</v>
      </c>
      <c r="C15" s="3" t="n">
        <v>0</v>
      </c>
      <c r="D15" s="3" t="n">
        <v>0</v>
      </c>
      <c r="E15" s="15" t="n">
        <v>3056991.16</v>
      </c>
    </row>
    <row r="16">
      <c r="A16" s="2" t="inlineStr">
        <is>
          <t>Contingenciado 2026</t>
        </is>
      </c>
      <c r="B16" s="3" t="n">
        <v>2.97</v>
      </c>
      <c r="C16" s="3" t="n">
        <v>0</v>
      </c>
      <c r="D16" s="3" t="n">
        <v>0</v>
      </c>
      <c r="E16" s="15" t="n">
        <v>2.97</v>
      </c>
    </row>
    <row r="17">
      <c r="A17" s="16" t="inlineStr">
        <is>
          <t>Despesa autorizada 2026 (DESP AUT.)</t>
        </is>
      </c>
      <c r="B17" s="7" t="n">
        <v>53563458.87</v>
      </c>
      <c r="C17" s="7" t="n">
        <v>0</v>
      </c>
      <c r="D17" s="7" t="n">
        <v>0</v>
      </c>
      <c r="E17" s="15" t="n">
        <v>53563458.87</v>
      </c>
    </row>
    <row r="18">
      <c r="A18" s="16" t="inlineStr">
        <is>
          <t>Empenhado 2026 (jan–ago fechado)</t>
        </is>
      </c>
      <c r="B18" s="7" t="n">
        <v>53490822.48999999</v>
      </c>
      <c r="C18" s="7" t="n">
        <v>0</v>
      </c>
      <c r="D18" s="7" t="n">
        <v>0</v>
      </c>
      <c r="E18" s="15" t="n">
        <v>53490822.48999999</v>
      </c>
    </row>
    <row r="19">
      <c r="A19" s="2" t="inlineStr">
        <is>
          <t>Disponível 2026 (saldo)</t>
        </is>
      </c>
      <c r="B19" s="3" t="n">
        <v>72636.37999999999</v>
      </c>
      <c r="C19" s="3" t="n">
        <v>0</v>
      </c>
      <c r="D19" s="3" t="n">
        <v>0</v>
      </c>
      <c r="E19" s="15" t="n">
        <v>72636.37999999999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1502773.379999995</v>
      </c>
      <c r="C21" s="7" t="n">
        <v>-12255059.2</v>
      </c>
      <c r="D21" s="7" t="n">
        <v>-2012000</v>
      </c>
      <c r="E21" s="15" t="n">
        <v>-12764285.82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46249535.4</v>
      </c>
      <c r="C23" s="3" t="n">
        <v>0</v>
      </c>
      <c r="D23" s="3" t="n">
        <v>0</v>
      </c>
      <c r="E23" s="15" t="n">
        <v>46249535.4</v>
      </c>
    </row>
    <row r="24">
      <c r="A24" s="2" t="inlineStr">
        <is>
          <t>Média mensal do liquidado (abr–ago)</t>
        </is>
      </c>
      <c r="B24" s="3" t="n">
        <v>6137071.004</v>
      </c>
      <c r="C24" s="3" t="n">
        <v>0</v>
      </c>
      <c r="D24" s="3" t="n">
        <v>0</v>
      </c>
      <c r="E24" s="15" t="n">
        <v>6137071.004</v>
      </c>
    </row>
    <row r="25">
      <c r="A25" s="2" t="inlineStr">
        <is>
          <t>Projeção do liquidado até dez (acum + média × meses restantes)</t>
        </is>
      </c>
      <c r="B25" s="3" t="n">
        <v>70797819.41599999</v>
      </c>
      <c r="C25" s="3" t="n">
        <v>0</v>
      </c>
      <c r="D25" s="3" t="n">
        <v>0</v>
      </c>
      <c r="E25" s="15" t="n">
        <v>70797819.41599999</v>
      </c>
    </row>
    <row r="26">
      <c r="A26" s="16" t="inlineStr">
        <is>
          <t>Déficit/superávit vs dotação autorizada (LEI+ALT)</t>
        </is>
      </c>
      <c r="B26" s="7" t="n">
        <v>-14177366.41599999</v>
      </c>
      <c r="C26" s="7" t="n">
        <v>0</v>
      </c>
      <c r="D26" s="7" t="n">
        <v>0</v>
      </c>
      <c r="E26" s="15" t="n">
        <v>-14177366.41599999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46249535.4</v>
      </c>
      <c r="C28" s="3" t="n">
        <v>0</v>
      </c>
      <c r="D28" s="3" t="n">
        <v>0</v>
      </c>
      <c r="E28" s="15" t="n">
        <v>46249535.4</v>
      </c>
    </row>
    <row r="29">
      <c r="A29" s="2" t="inlineStr">
        <is>
          <t>Mediana mensal do liquidado (abr–ago)</t>
        </is>
      </c>
      <c r="B29" s="3" t="n">
        <v>5912162.26</v>
      </c>
      <c r="C29" s="3" t="n">
        <v>0</v>
      </c>
      <c r="D29" s="3" t="n">
        <v>0</v>
      </c>
      <c r="E29" s="15" t="n">
        <v>5912162.26</v>
      </c>
    </row>
    <row r="30">
      <c r="A30" s="2" t="inlineStr">
        <is>
          <t>Projeção do liquidado até dez (acum + mediana × meses restantes)</t>
        </is>
      </c>
      <c r="B30" s="3" t="n">
        <v>69898184.44</v>
      </c>
      <c r="C30" s="3" t="n">
        <v>0</v>
      </c>
      <c r="D30" s="3" t="n">
        <v>0</v>
      </c>
      <c r="E30" s="15" t="n">
        <v>69898184.44</v>
      </c>
    </row>
    <row r="31">
      <c r="A31" s="16" t="inlineStr">
        <is>
          <t>Déficit/superávit vs dotação autorizada (LEI+ALT)</t>
        </is>
      </c>
      <c r="B31" s="7" t="n">
        <v>-13277731.44</v>
      </c>
      <c r="C31" s="7" t="n">
        <v>0</v>
      </c>
      <c r="D31" s="7" t="n">
        <v>0</v>
      </c>
      <c r="E31" s="15" t="n">
        <v>-13277731.44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(R$ 56,6 mi) é inferior ao empenhado de 2025 (R$ 69,4 mi), déficit potencial de R$ 12,8 mi caso a demanda repita o exercício anterior.</t>
        </is>
      </c>
    </row>
    <row r="35" ht="18" customHeight="1">
      <c r="A35" s="18" t="inlineStr">
        <is>
          <t>2.  Ritmo de execução: 99,9%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(R$ 70,8 mi) supera a dotação — déficit de R$ 14,2 mi.</t>
        </is>
      </c>
    </row>
    <row r="37" ht="33" customHeight="1">
      <c r="A37" s="18" t="inlineStr">
        <is>
          <t>4.  Comparação 3 (mediana): pela mediana dos 5 meses fechados (abr–ago), a projeção do liquidado até dez (R$ 69,9 mi) supera a dotação — déficit de R$ 13,3 mi.</t>
        </is>
      </c>
    </row>
    <row r="38" ht="18" customHeight="1">
      <c r="A38" s="18" t="inlineStr">
        <is>
          <t>5.  Recursos retidos: R$ 3,1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69384738.82000001</v>
      </c>
    </row>
    <row r="42">
      <c r="A42" s="20" t="inlineStr">
        <is>
          <t>Dotação Autorizada 2026</t>
        </is>
      </c>
      <c r="B42" s="21" t="n">
        <v>56620453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5050405.1</v>
      </c>
      <c r="C45" s="21" t="n">
        <v>56620453</v>
      </c>
    </row>
    <row r="46">
      <c r="A46" s="20" t="inlineStr">
        <is>
          <t>Fev</t>
        </is>
      </c>
      <c r="B46" s="21" t="n">
        <v>5202347.71</v>
      </c>
      <c r="C46" s="21" t="n">
        <v>56620453</v>
      </c>
    </row>
    <row r="47">
      <c r="A47" s="20" t="inlineStr">
        <is>
          <t>Mar</t>
        </is>
      </c>
      <c r="B47" s="21" t="n">
        <v>15564180.38</v>
      </c>
      <c r="C47" s="21" t="n">
        <v>56620453</v>
      </c>
    </row>
    <row r="48">
      <c r="A48" s="20" t="inlineStr">
        <is>
          <t>Abr</t>
        </is>
      </c>
      <c r="B48" s="21" t="n">
        <v>21476342.64</v>
      </c>
      <c r="C48" s="21" t="n">
        <v>56620453</v>
      </c>
    </row>
    <row r="49">
      <c r="A49" s="20" t="inlineStr">
        <is>
          <t>Mai</t>
        </is>
      </c>
      <c r="B49" s="21" t="n">
        <v>27158507.95</v>
      </c>
      <c r="C49" s="21" t="n">
        <v>56620453</v>
      </c>
    </row>
    <row r="50">
      <c r="A50" s="20" t="inlineStr">
        <is>
          <t>Jun</t>
        </is>
      </c>
      <c r="B50" s="21" t="n">
        <v>32559655.94</v>
      </c>
      <c r="C50" s="21" t="n">
        <v>56620453</v>
      </c>
    </row>
    <row r="51">
      <c r="A51" s="20" t="inlineStr">
        <is>
          <t>Jul</t>
        </is>
      </c>
      <c r="B51" s="21" t="n">
        <v>40318888.79</v>
      </c>
      <c r="C51" s="21" t="n">
        <v>56620453</v>
      </c>
    </row>
    <row r="52">
      <c r="A52" s="20" t="inlineStr">
        <is>
          <t>Ago</t>
        </is>
      </c>
      <c r="B52" s="21" t="n">
        <v>46249535.4</v>
      </c>
      <c r="C52" s="21" t="n">
        <v>56620453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69384738.82000001</v>
      </c>
    </row>
    <row r="55">
      <c r="A55" s="20" t="inlineStr">
        <is>
          <t>Dotação Autorizada 2026 (tesouro)</t>
        </is>
      </c>
      <c r="B55" s="21" t="n">
        <v>56620453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5050405.1</v>
      </c>
      <c r="C58" s="21" t="n">
        <v>56620453</v>
      </c>
    </row>
    <row r="59">
      <c r="A59" s="20" t="inlineStr">
        <is>
          <t>Fev</t>
        </is>
      </c>
      <c r="B59" s="21" t="n">
        <v>5202347.71</v>
      </c>
      <c r="C59" s="21" t="n">
        <v>56620453</v>
      </c>
    </row>
    <row r="60">
      <c r="A60" s="20" t="inlineStr">
        <is>
          <t>Mar</t>
        </is>
      </c>
      <c r="B60" s="21" t="n">
        <v>15564180.38</v>
      </c>
      <c r="C60" s="21" t="n">
        <v>56620453</v>
      </c>
    </row>
    <row r="61">
      <c r="A61" s="20" t="inlineStr">
        <is>
          <t>Abr</t>
        </is>
      </c>
      <c r="B61" s="21" t="n">
        <v>21476342.64</v>
      </c>
      <c r="C61" s="21" t="n">
        <v>56620453</v>
      </c>
    </row>
    <row r="62">
      <c r="A62" s="20" t="inlineStr">
        <is>
          <t>Mai</t>
        </is>
      </c>
      <c r="B62" s="21" t="n">
        <v>27158507.95</v>
      </c>
      <c r="C62" s="21" t="n">
        <v>56620453</v>
      </c>
    </row>
    <row r="63">
      <c r="A63" s="20" t="inlineStr">
        <is>
          <t>Jun</t>
        </is>
      </c>
      <c r="B63" s="21" t="n">
        <v>32559655.94</v>
      </c>
      <c r="C63" s="21" t="n">
        <v>56620453</v>
      </c>
    </row>
    <row r="64">
      <c r="A64" s="20" t="inlineStr">
        <is>
          <t>Jul</t>
        </is>
      </c>
      <c r="B64" s="21" t="n">
        <v>40318888.79</v>
      </c>
      <c r="C64" s="21" t="n">
        <v>56620453</v>
      </c>
    </row>
    <row r="65">
      <c r="A65" s="20" t="inlineStr">
        <is>
          <t>Ago</t>
        </is>
      </c>
      <c r="B65" s="21" t="n">
        <v>46249535.4</v>
      </c>
      <c r="C65" s="21" t="n">
        <v>56620453</v>
      </c>
    </row>
  </sheetData>
  <mergeCells count="6">
    <mergeCell ref="A34:E34"/>
    <mergeCell ref="A35:E35"/>
    <mergeCell ref="A38:E38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08.244.6228.4272.0001 — SEDES — Cartão Prato Cheio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161</t>
        </is>
      </c>
      <c r="E4" s="12" t="inlineStr">
        <is>
          <t>FONTE 183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5000</v>
      </c>
      <c r="C6" s="3" t="n">
        <v>0</v>
      </c>
      <c r="D6" s="3" t="n">
        <v>0</v>
      </c>
      <c r="E6" s="3" t="n">
        <v>0</v>
      </c>
      <c r="F6" s="15" t="n">
        <v>5000</v>
      </c>
    </row>
    <row r="7">
      <c r="A7" s="2" t="inlineStr">
        <is>
          <t>Alterações 2025</t>
        </is>
      </c>
      <c r="B7" s="3" t="n">
        <v>295633160</v>
      </c>
      <c r="C7" s="3" t="n">
        <v>19423738</v>
      </c>
      <c r="D7" s="3" t="n">
        <v>31344000</v>
      </c>
      <c r="E7" s="3" t="n">
        <v>0</v>
      </c>
      <c r="F7" s="15" t="n">
        <v>346400898</v>
      </c>
    </row>
    <row r="8">
      <c r="A8" s="2" t="inlineStr">
        <is>
          <t>Despesa autorizada 2025 (DESP AUT.)</t>
        </is>
      </c>
      <c r="B8" s="3" t="n">
        <v>295636668.98</v>
      </c>
      <c r="C8" s="3" t="n">
        <v>19423738</v>
      </c>
      <c r="D8" s="3" t="n">
        <v>31344000</v>
      </c>
      <c r="E8" s="3" t="n">
        <v>0</v>
      </c>
      <c r="F8" s="15" t="n">
        <v>346404406.98</v>
      </c>
    </row>
    <row r="9">
      <c r="A9" s="16" t="inlineStr">
        <is>
          <t>Empenhado 2025</t>
        </is>
      </c>
      <c r="B9" s="7" t="n">
        <v>295636668.7</v>
      </c>
      <c r="C9" s="7" t="n">
        <v>19423738</v>
      </c>
      <c r="D9" s="7" t="n">
        <v>31344000</v>
      </c>
      <c r="E9" s="7" t="n">
        <v>0</v>
      </c>
      <c r="F9" s="15" t="n">
        <v>346404406.7</v>
      </c>
    </row>
    <row r="10">
      <c r="A10" s="2" t="inlineStr">
        <is>
          <t>Liquidado 2025</t>
        </is>
      </c>
      <c r="B10" s="3" t="n">
        <v>272025740.66</v>
      </c>
      <c r="C10" s="3" t="n">
        <v>19423738</v>
      </c>
      <c r="D10" s="3" t="n">
        <v>31344000</v>
      </c>
      <c r="E10" s="3" t="n">
        <v>0</v>
      </c>
      <c r="F10" s="15" t="n">
        <v>322793478.66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306657262</v>
      </c>
      <c r="C12" s="3" t="n">
        <v>0</v>
      </c>
      <c r="D12" s="3" t="n">
        <v>0</v>
      </c>
      <c r="E12" s="3" t="n">
        <v>6090</v>
      </c>
      <c r="F12" s="15" t="n">
        <v>306663352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15" t="n">
        <v>0</v>
      </c>
    </row>
    <row r="14">
      <c r="A14" s="16" t="inlineStr">
        <is>
          <t>Dotação autorizada 2026 (LEI + ALTERAÇÃO)</t>
        </is>
      </c>
      <c r="B14" s="7" t="n">
        <v>306657262</v>
      </c>
      <c r="C14" s="7" t="n">
        <v>0</v>
      </c>
      <c r="D14" s="7" t="n">
        <v>0</v>
      </c>
      <c r="E14" s="7" t="n">
        <v>6090</v>
      </c>
      <c r="F14" s="15" t="n">
        <v>306663352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306657262</v>
      </c>
      <c r="C17" s="7" t="n">
        <v>0</v>
      </c>
      <c r="D17" s="7" t="n">
        <v>0</v>
      </c>
      <c r="E17" s="7" t="n">
        <v>6090</v>
      </c>
      <c r="F17" s="15" t="n">
        <v>306663352</v>
      </c>
    </row>
    <row r="18">
      <c r="A18" s="16" t="inlineStr">
        <is>
          <t>Empenhado 2026 (jan–ago fechado)</t>
        </is>
      </c>
      <c r="B18" s="7" t="n">
        <v>306657262</v>
      </c>
      <c r="C18" s="7" t="n">
        <v>0</v>
      </c>
      <c r="D18" s="7" t="n">
        <v>0</v>
      </c>
      <c r="E18" s="7" t="n">
        <v>6090</v>
      </c>
      <c r="F18" s="15" t="n">
        <v>306663352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11020593.30000001</v>
      </c>
      <c r="C21" s="7" t="n">
        <v>-19423738</v>
      </c>
      <c r="D21" s="7" t="n">
        <v>-31344000</v>
      </c>
      <c r="E21" s="7" t="n">
        <v>6090</v>
      </c>
      <c r="F21" s="15" t="n">
        <v>-39741054.69999999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221546409.55</v>
      </c>
      <c r="C23" s="3" t="n">
        <v>0</v>
      </c>
      <c r="D23" s="3" t="n">
        <v>0</v>
      </c>
      <c r="E23" s="3" t="n">
        <v>6090</v>
      </c>
      <c r="F23" s="15" t="n">
        <v>221552499.55</v>
      </c>
    </row>
    <row r="24">
      <c r="A24" s="2" t="inlineStr">
        <is>
          <t>Média mensal do liquidado (abr–ago)</t>
        </is>
      </c>
      <c r="B24" s="3" t="n">
        <v>24744750</v>
      </c>
      <c r="C24" s="3" t="n">
        <v>0</v>
      </c>
      <c r="D24" s="3" t="n">
        <v>0</v>
      </c>
      <c r="E24" s="3" t="n">
        <v>0</v>
      </c>
      <c r="F24" s="15" t="n">
        <v>24744750</v>
      </c>
    </row>
    <row r="25">
      <c r="A25" s="2" t="inlineStr">
        <is>
          <t>Projeção do liquidado até dez (acum + média × meses restantes)</t>
        </is>
      </c>
      <c r="B25" s="3" t="n">
        <v>320525409.55</v>
      </c>
      <c r="C25" s="3" t="n">
        <v>0</v>
      </c>
      <c r="D25" s="3" t="n">
        <v>0</v>
      </c>
      <c r="E25" s="3" t="n">
        <v>6090</v>
      </c>
      <c r="F25" s="15" t="n">
        <v>320531499.55</v>
      </c>
    </row>
    <row r="26">
      <c r="A26" s="16" t="inlineStr">
        <is>
          <t>Déficit/superávit vs dotação autorizada (LEI+ALT)</t>
        </is>
      </c>
      <c r="B26" s="7" t="n">
        <v>-13868147.55000001</v>
      </c>
      <c r="C26" s="7" t="n">
        <v>0</v>
      </c>
      <c r="D26" s="7" t="n">
        <v>0</v>
      </c>
      <c r="E26" s="7" t="n">
        <v>0</v>
      </c>
      <c r="F26" s="15" t="n">
        <v>-13868147.55000001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221546409.55</v>
      </c>
      <c r="C28" s="3" t="n">
        <v>0</v>
      </c>
      <c r="D28" s="3" t="n">
        <v>0</v>
      </c>
      <c r="E28" s="3" t="n">
        <v>6090</v>
      </c>
      <c r="F28" s="15" t="n">
        <v>221552499.55</v>
      </c>
    </row>
    <row r="29">
      <c r="A29" s="2" t="inlineStr">
        <is>
          <t>Mediana mensal do liquidado (abr–ago)</t>
        </is>
      </c>
      <c r="B29" s="3" t="n">
        <v>24753750</v>
      </c>
      <c r="C29" s="3" t="n">
        <v>0</v>
      </c>
      <c r="D29" s="3" t="n">
        <v>0</v>
      </c>
      <c r="E29" s="3" t="n">
        <v>0</v>
      </c>
      <c r="F29" s="15" t="n">
        <v>24753750</v>
      </c>
    </row>
    <row r="30">
      <c r="A30" s="2" t="inlineStr">
        <is>
          <t>Projeção do liquidado até dez (acum + mediana × meses restantes)</t>
        </is>
      </c>
      <c r="B30" s="3" t="n">
        <v>320561409.55</v>
      </c>
      <c r="C30" s="3" t="n">
        <v>0</v>
      </c>
      <c r="D30" s="3" t="n">
        <v>0</v>
      </c>
      <c r="E30" s="3" t="n">
        <v>6090</v>
      </c>
      <c r="F30" s="15" t="n">
        <v>320567499.55</v>
      </c>
    </row>
    <row r="31">
      <c r="A31" s="16" t="inlineStr">
        <is>
          <t>Déficit/superávit vs dotação autorizada (LEI+ALT)</t>
        </is>
      </c>
      <c r="B31" s="7" t="n">
        <v>-13904147.55000001</v>
      </c>
      <c r="C31" s="7" t="n">
        <v>0</v>
      </c>
      <c r="D31" s="7" t="n">
        <v>0</v>
      </c>
      <c r="E31" s="7" t="n">
        <v>0</v>
      </c>
      <c r="F31" s="15" t="n">
        <v>-13904147.55000001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Transformação de PT: durante 2025 o programa 08.306.6228.4173.0003 foi transformado neste (08.244.6228.4272.0001). A execução de 2025 abaixo consolida os dois códigos; em 2026 existe apenas o 4272.0001.</t>
        </is>
      </c>
    </row>
    <row r="35" ht="33" customHeight="1">
      <c r="A35" s="18" t="inlineStr">
        <is>
          <t>2.  Comparação 1: a dotação autorizada 2026 (R$ 306,7 mi) é inferior ao empenhado de 2025 (R$ 346,4 mi), déficit potencial de R$ 39,7 mi caso a demanda repita o exercício anterior.</t>
        </is>
      </c>
    </row>
    <row r="36" ht="18" customHeight="1">
      <c r="A36" s="18" t="inlineStr">
        <is>
          <t>3.  Ritmo de execução: 100,0%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(R$ 320,5 mi) supera a dotação — déficit de R$ 13,9 mi.</t>
        </is>
      </c>
    </row>
    <row r="38" ht="33" customHeight="1">
      <c r="A38" s="18" t="inlineStr">
        <is>
          <t>5.  Comparação 3 (mediana): pela mediana dos 5 meses fechados (abr–ago), a projeção do liquidado até dez (R$ 320,6 mi) supera a dotação — déficit de R$ 13,9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346404406.7</v>
      </c>
    </row>
    <row r="42">
      <c r="A42" s="20" t="inlineStr">
        <is>
          <t>Dotação Autorizada 2026</t>
        </is>
      </c>
      <c r="B42" s="21" t="n">
        <v>306663352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41344999.55</v>
      </c>
      <c r="C45" s="21" t="n">
        <v>306663352</v>
      </c>
    </row>
    <row r="46">
      <c r="A46" s="20" t="inlineStr">
        <is>
          <t>Fev</t>
        </is>
      </c>
      <c r="B46" s="21" t="n">
        <v>73074999.55</v>
      </c>
      <c r="C46" s="21" t="n">
        <v>306663352</v>
      </c>
    </row>
    <row r="47">
      <c r="A47" s="20" t="inlineStr">
        <is>
          <t>Mar</t>
        </is>
      </c>
      <c r="B47" s="21" t="n">
        <v>97828749.55</v>
      </c>
      <c r="C47" s="21" t="n">
        <v>306663352</v>
      </c>
    </row>
    <row r="48">
      <c r="A48" s="20" t="inlineStr">
        <is>
          <t>Abr</t>
        </is>
      </c>
      <c r="B48" s="21" t="n">
        <v>122587499.55</v>
      </c>
      <c r="C48" s="21" t="n">
        <v>306663352</v>
      </c>
    </row>
    <row r="49">
      <c r="A49" s="20" t="inlineStr">
        <is>
          <t>Mai</t>
        </is>
      </c>
      <c r="B49" s="21" t="n">
        <v>147348749.55</v>
      </c>
      <c r="C49" s="21" t="n">
        <v>306663352</v>
      </c>
    </row>
    <row r="50">
      <c r="A50" s="20" t="inlineStr">
        <is>
          <t>Jun</t>
        </is>
      </c>
      <c r="B50" s="21" t="n">
        <v>172048749.55</v>
      </c>
      <c r="C50" s="21" t="n">
        <v>306663352</v>
      </c>
    </row>
    <row r="51">
      <c r="A51" s="20" t="inlineStr">
        <is>
          <t>Jul</t>
        </is>
      </c>
      <c r="B51" s="21" t="n">
        <v>196802499.55</v>
      </c>
      <c r="C51" s="21" t="n">
        <v>306663352</v>
      </c>
    </row>
    <row r="52">
      <c r="A52" s="20" t="inlineStr">
        <is>
          <t>Ago</t>
        </is>
      </c>
      <c r="B52" s="21" t="n">
        <v>221552499.55</v>
      </c>
      <c r="C52" s="21" t="n">
        <v>306663352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346404406.7</v>
      </c>
    </row>
    <row r="55">
      <c r="A55" s="20" t="inlineStr">
        <is>
          <t>Dotação Autorizada 2026 (tesouro)</t>
        </is>
      </c>
      <c r="B55" s="21" t="n">
        <v>306663352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41344999.55</v>
      </c>
      <c r="C58" s="21" t="n">
        <v>306663352</v>
      </c>
    </row>
    <row r="59">
      <c r="A59" s="20" t="inlineStr">
        <is>
          <t>Fev</t>
        </is>
      </c>
      <c r="B59" s="21" t="n">
        <v>73074999.55</v>
      </c>
      <c r="C59" s="21" t="n">
        <v>306663352</v>
      </c>
    </row>
    <row r="60">
      <c r="A60" s="20" t="inlineStr">
        <is>
          <t>Mar</t>
        </is>
      </c>
      <c r="B60" s="21" t="n">
        <v>97828749.55</v>
      </c>
      <c r="C60" s="21" t="n">
        <v>306663352</v>
      </c>
    </row>
    <row r="61">
      <c r="A61" s="20" t="inlineStr">
        <is>
          <t>Abr</t>
        </is>
      </c>
      <c r="B61" s="21" t="n">
        <v>122587499.55</v>
      </c>
      <c r="C61" s="21" t="n">
        <v>306663352</v>
      </c>
    </row>
    <row r="62">
      <c r="A62" s="20" t="inlineStr">
        <is>
          <t>Mai</t>
        </is>
      </c>
      <c r="B62" s="21" t="n">
        <v>147348749.55</v>
      </c>
      <c r="C62" s="21" t="n">
        <v>306663352</v>
      </c>
    </row>
    <row r="63">
      <c r="A63" s="20" t="inlineStr">
        <is>
          <t>Jun</t>
        </is>
      </c>
      <c r="B63" s="21" t="n">
        <v>172048749.55</v>
      </c>
      <c r="C63" s="21" t="n">
        <v>306663352</v>
      </c>
    </row>
    <row r="64">
      <c r="A64" s="20" t="inlineStr">
        <is>
          <t>Jul</t>
        </is>
      </c>
      <c r="B64" s="21" t="n">
        <v>196802499.55</v>
      </c>
      <c r="C64" s="21" t="n">
        <v>306663352</v>
      </c>
    </row>
    <row r="65">
      <c r="A65" s="20" t="inlineStr">
        <is>
          <t>Ago</t>
        </is>
      </c>
      <c r="B65" s="21" t="n">
        <v>221552499.55</v>
      </c>
      <c r="C65" s="21" t="n">
        <v>306663352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9" t="inlineStr">
        <is>
          <t>08.306.6228.4175.0002 — SEDES — Restaurantes Comunitários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</row>
    <row r="6">
      <c r="A6" s="2" t="inlineStr">
        <is>
          <t>Dotação inicial (LEI) 2025</t>
        </is>
      </c>
      <c r="B6" s="3" t="n">
        <v>135000000</v>
      </c>
      <c r="C6" s="15" t="n">
        <v>135000000</v>
      </c>
    </row>
    <row r="7">
      <c r="A7" s="2" t="inlineStr">
        <is>
          <t>Alterações 2025</t>
        </is>
      </c>
      <c r="B7" s="3" t="n">
        <v>-32525939</v>
      </c>
      <c r="C7" s="15" t="n">
        <v>-32525939</v>
      </c>
    </row>
    <row r="8">
      <c r="A8" s="2" t="inlineStr">
        <is>
          <t>Despesa autorizada 2025 (DESP AUT.)</t>
        </is>
      </c>
      <c r="B8" s="3" t="n">
        <v>102466797.79</v>
      </c>
      <c r="C8" s="15" t="n">
        <v>102466797.79</v>
      </c>
    </row>
    <row r="9">
      <c r="A9" s="16" t="inlineStr">
        <is>
          <t>Empenhado 2025</t>
        </is>
      </c>
      <c r="B9" s="7" t="n">
        <v>102462894.13</v>
      </c>
      <c r="C9" s="15" t="n">
        <v>102462894.13</v>
      </c>
    </row>
    <row r="10">
      <c r="A10" s="2" t="inlineStr">
        <is>
          <t>Liquidado 2025</t>
        </is>
      </c>
      <c r="B10" s="3" t="n">
        <v>90232696.53</v>
      </c>
      <c r="C10" s="15" t="n">
        <v>90232696.53</v>
      </c>
    </row>
    <row r="11">
      <c r="A11" s="13" t="inlineStr">
        <is>
          <t>ORÇAMENTO 2026 (posição do arquivo)</t>
        </is>
      </c>
      <c r="B11" s="14" t="n"/>
      <c r="C11" s="14" t="n"/>
    </row>
    <row r="12">
      <c r="A12" s="2" t="inlineStr">
        <is>
          <t>Dotação inicial (LEI) 2026</t>
        </is>
      </c>
      <c r="B12" s="3" t="n">
        <v>110000000</v>
      </c>
      <c r="C12" s="15" t="n">
        <v>110000000</v>
      </c>
    </row>
    <row r="13">
      <c r="A13" s="2" t="inlineStr">
        <is>
          <t>Alterações 2026</t>
        </is>
      </c>
      <c r="B13" s="3" t="n">
        <v>-26669093</v>
      </c>
      <c r="C13" s="15" t="n">
        <v>-26669093</v>
      </c>
    </row>
    <row r="14">
      <c r="A14" s="16" t="inlineStr">
        <is>
          <t>Dotação autorizada 2026 (LEI + ALTERAÇÃO)</t>
        </is>
      </c>
      <c r="B14" s="7" t="n">
        <v>83330907</v>
      </c>
      <c r="C14" s="15" t="n">
        <v>83330907</v>
      </c>
    </row>
    <row r="15">
      <c r="A15" s="2" t="inlineStr">
        <is>
          <t>Cota a liberar 2026</t>
        </is>
      </c>
      <c r="B15" s="3" t="n">
        <v>0</v>
      </c>
      <c r="C15" s="15" t="n">
        <v>0</v>
      </c>
    </row>
    <row r="16">
      <c r="A16" s="2" t="inlineStr">
        <is>
          <t>Contingenciado 2026</t>
        </is>
      </c>
      <c r="B16" s="3" t="n">
        <v>0</v>
      </c>
      <c r="C16" s="15" t="n">
        <v>0</v>
      </c>
    </row>
    <row r="17">
      <c r="A17" s="16" t="inlineStr">
        <is>
          <t>Despesa autorizada 2026 (DESP AUT.)</t>
        </is>
      </c>
      <c r="B17" s="7" t="n">
        <v>80726600</v>
      </c>
      <c r="C17" s="15" t="n">
        <v>80726600</v>
      </c>
    </row>
    <row r="18">
      <c r="A18" s="16" t="inlineStr">
        <is>
          <t>Empenhado 2026 (jan–ago fechado)</t>
        </is>
      </c>
      <c r="B18" s="7" t="n">
        <v>80726580.98</v>
      </c>
      <c r="C18" s="15" t="n">
        <v>80726580.98</v>
      </c>
    </row>
    <row r="19">
      <c r="A19" s="2" t="inlineStr">
        <is>
          <t>Disponível 2026 (saldo)</t>
        </is>
      </c>
      <c r="B19" s="3" t="n">
        <v>19.02</v>
      </c>
      <c r="C19" s="15" t="n">
        <v>19.02</v>
      </c>
    </row>
    <row r="20">
      <c r="A20" s="13" t="inlineStr">
        <is>
          <t>COMPARAÇÃO 1 — EMPENHO 2025 × ORÇAMENTO 2026</t>
        </is>
      </c>
      <c r="B20" s="14" t="n"/>
      <c r="C20" s="14" t="n"/>
    </row>
    <row r="21">
      <c r="A21" s="16" t="inlineStr">
        <is>
          <t>Déficit/superávit vs dotação autorizada (LEI+ALT)</t>
        </is>
      </c>
      <c r="B21" s="7" t="n">
        <v>-19131987.13</v>
      </c>
      <c r="C21" s="15" t="n">
        <v>-19131987.13</v>
      </c>
    </row>
    <row r="22">
      <c r="A22" s="13" t="inlineStr">
        <is>
          <t>COMPARAÇÃO 2 — PROJEÇÃO DO LIQUIDADO (média abr–ago, 5 meses)</t>
        </is>
      </c>
      <c r="B22" s="14" t="n"/>
      <c r="C22" s="14" t="n"/>
    </row>
    <row r="23">
      <c r="A23" s="2" t="inlineStr">
        <is>
          <t>Liquidado acumulado 2026 (jan–ago)</t>
        </is>
      </c>
      <c r="B23" s="3" t="n">
        <v>60516618.48</v>
      </c>
      <c r="C23" s="15" t="n">
        <v>60516618.48</v>
      </c>
    </row>
    <row r="24">
      <c r="A24" s="2" t="inlineStr">
        <is>
          <t>Média mensal do liquidado (abr–ago)</t>
        </is>
      </c>
      <c r="B24" s="3" t="n">
        <v>8746184.214</v>
      </c>
      <c r="C24" s="15" t="n">
        <v>8746184.214</v>
      </c>
    </row>
    <row r="25">
      <c r="A25" s="2" t="inlineStr">
        <is>
          <t>Projeção do liquidado até dez (acum + média × meses restantes)</t>
        </is>
      </c>
      <c r="B25" s="3" t="n">
        <v>95501355.336</v>
      </c>
      <c r="C25" s="15" t="n">
        <v>95501355.336</v>
      </c>
    </row>
    <row r="26">
      <c r="A26" s="16" t="inlineStr">
        <is>
          <t>Déficit/superávit vs dotação autorizada (LEI+ALT)</t>
        </is>
      </c>
      <c r="B26" s="7" t="n">
        <v>-12170448.336</v>
      </c>
      <c r="C26" s="15" t="n">
        <v>-12170448.336</v>
      </c>
    </row>
    <row r="27">
      <c r="A27" s="13" t="inlineStr">
        <is>
          <t>COMPARAÇÃO 3 — PROJEÇÃO DO LIQUIDADO (mediana abr–ago, 5 meses)</t>
        </is>
      </c>
      <c r="B27" s="14" t="n"/>
      <c r="C27" s="14" t="n"/>
    </row>
    <row r="28">
      <c r="A28" s="2" t="inlineStr">
        <is>
          <t>Liquidado acumulado 2026 (jan–ago)</t>
        </is>
      </c>
      <c r="B28" s="3" t="n">
        <v>60516618.48</v>
      </c>
      <c r="C28" s="15" t="n">
        <v>60516618.48</v>
      </c>
    </row>
    <row r="29">
      <c r="A29" s="2" t="inlineStr">
        <is>
          <t>Mediana mensal do liquidado (abr–ago)</t>
        </is>
      </c>
      <c r="B29" s="3" t="n">
        <v>8680403.060000001</v>
      </c>
      <c r="C29" s="15" t="n">
        <v>8680403.060000001</v>
      </c>
    </row>
    <row r="30">
      <c r="A30" s="2" t="inlineStr">
        <is>
          <t>Projeção do liquidado até dez (acum + mediana × meses restantes)</t>
        </is>
      </c>
      <c r="B30" s="3" t="n">
        <v>95238230.72</v>
      </c>
      <c r="C30" s="15" t="n">
        <v>95238230.72</v>
      </c>
    </row>
    <row r="31">
      <c r="A31" s="16" t="inlineStr">
        <is>
          <t>Déficit/superávit vs dotação autorizada (LEI+ALT)</t>
        </is>
      </c>
      <c r="B31" s="7" t="n">
        <v>-11907323.72</v>
      </c>
      <c r="C31" s="15" t="n">
        <v>-11907323.72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(R$ 83,3 mi) é inferior ao empenhado de 2025 (R$ 102,5 mi), déficit potencial de R$ 19,1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(R$ 95,5 mi) supera a dotação — déficit de R$ 12,2 mi.</t>
        </is>
      </c>
    </row>
    <row r="37" ht="33" customHeight="1">
      <c r="A37" s="18" t="inlineStr">
        <is>
          <t>4.  Comparação 3 (mediana): pela mediana dos 5 meses fechados (abr–ago), a projeção do liquidado até dez (R$ 95,2 mi) supera a dotação — déficit de R$ 11,9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102462894.13</v>
      </c>
    </row>
    <row r="41">
      <c r="A41" s="20" t="inlineStr">
        <is>
          <t>Dotação Autorizada 2026</t>
        </is>
      </c>
      <c r="B41" s="21" t="n">
        <v>83330907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83330907</v>
      </c>
    </row>
    <row r="45">
      <c r="A45" s="20" t="inlineStr">
        <is>
          <t>Fev</t>
        </is>
      </c>
      <c r="B45" s="21" t="n">
        <v>7853596.7</v>
      </c>
      <c r="C45" s="21" t="n">
        <v>83330907</v>
      </c>
    </row>
    <row r="46">
      <c r="A46" s="20" t="inlineStr">
        <is>
          <t>Mar</t>
        </is>
      </c>
      <c r="B46" s="21" t="n">
        <v>16785697.41</v>
      </c>
      <c r="C46" s="21" t="n">
        <v>83330907</v>
      </c>
    </row>
    <row r="47">
      <c r="A47" s="20" t="inlineStr">
        <is>
          <t>Abr</t>
        </is>
      </c>
      <c r="B47" s="21" t="n">
        <v>25338967.32</v>
      </c>
      <c r="C47" s="21" t="n">
        <v>83330907</v>
      </c>
    </row>
    <row r="48">
      <c r="A48" s="20" t="inlineStr">
        <is>
          <t>Mai</t>
        </is>
      </c>
      <c r="B48" s="21" t="n">
        <v>34632677.1</v>
      </c>
      <c r="C48" s="21" t="n">
        <v>83330907</v>
      </c>
    </row>
    <row r="49">
      <c r="A49" s="20" t="inlineStr">
        <is>
          <t>Jun</t>
        </is>
      </c>
      <c r="B49" s="21" t="n">
        <v>42667764.9</v>
      </c>
      <c r="C49" s="21" t="n">
        <v>83330907</v>
      </c>
    </row>
    <row r="50">
      <c r="A50" s="20" t="inlineStr">
        <is>
          <t>Jul</t>
        </is>
      </c>
      <c r="B50" s="21" t="n">
        <v>51348167.96</v>
      </c>
      <c r="C50" s="21" t="n">
        <v>83330907</v>
      </c>
    </row>
    <row r="51">
      <c r="A51" s="20" t="inlineStr">
        <is>
          <t>Ago</t>
        </is>
      </c>
      <c r="B51" s="21" t="n">
        <v>60516618.48</v>
      </c>
      <c r="C51" s="21" t="n">
        <v>83330907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102462894.13</v>
      </c>
    </row>
    <row r="54">
      <c r="A54" s="20" t="inlineStr">
        <is>
          <t>Dotação Autorizada 2026 (tesouro)</t>
        </is>
      </c>
      <c r="B54" s="21" t="n">
        <v>83330907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83330907</v>
      </c>
    </row>
    <row r="58">
      <c r="A58" s="20" t="inlineStr">
        <is>
          <t>Fev</t>
        </is>
      </c>
      <c r="B58" s="21" t="n">
        <v>7853596.7</v>
      </c>
      <c r="C58" s="21" t="n">
        <v>83330907</v>
      </c>
    </row>
    <row r="59">
      <c r="A59" s="20" t="inlineStr">
        <is>
          <t>Mar</t>
        </is>
      </c>
      <c r="B59" s="21" t="n">
        <v>16785697.41</v>
      </c>
      <c r="C59" s="21" t="n">
        <v>83330907</v>
      </c>
    </row>
    <row r="60">
      <c r="A60" s="20" t="inlineStr">
        <is>
          <t>Abr</t>
        </is>
      </c>
      <c r="B60" s="21" t="n">
        <v>25338967.32</v>
      </c>
      <c r="C60" s="21" t="n">
        <v>83330907</v>
      </c>
    </row>
    <row r="61">
      <c r="A61" s="20" t="inlineStr">
        <is>
          <t>Mai</t>
        </is>
      </c>
      <c r="B61" s="21" t="n">
        <v>34632677.1</v>
      </c>
      <c r="C61" s="21" t="n">
        <v>83330907</v>
      </c>
    </row>
    <row r="62">
      <c r="A62" s="20" t="inlineStr">
        <is>
          <t>Jun</t>
        </is>
      </c>
      <c r="B62" s="21" t="n">
        <v>42667764.9</v>
      </c>
      <c r="C62" s="21" t="n">
        <v>83330907</v>
      </c>
    </row>
    <row r="63">
      <c r="A63" s="20" t="inlineStr">
        <is>
          <t>Jul</t>
        </is>
      </c>
      <c r="B63" s="21" t="n">
        <v>51348167.96</v>
      </c>
      <c r="C63" s="21" t="n">
        <v>83330907</v>
      </c>
    </row>
    <row r="64">
      <c r="A64" s="20" t="inlineStr">
        <is>
          <t>Ago</t>
        </is>
      </c>
      <c r="B64" s="21" t="n">
        <v>60516618.48</v>
      </c>
      <c r="C64" s="21" t="n">
        <v>83330907</v>
      </c>
    </row>
  </sheetData>
  <mergeCells count="5">
    <mergeCell ref="A36:C36"/>
    <mergeCell ref="A33:C33"/>
    <mergeCell ref="A37:C37"/>
    <mergeCell ref="A34:C34"/>
    <mergeCell ref="A35:C3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04.122.0001.9126.0001 — SEEC — Aporte da Contribuição Mensal do GDF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183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0</v>
      </c>
      <c r="C6" s="3" t="n">
        <v>0</v>
      </c>
      <c r="D6" s="3" t="n">
        <v>60000000</v>
      </c>
      <c r="E6" s="3" t="n">
        <v>60000000</v>
      </c>
      <c r="F6" s="15" t="n">
        <v>120000000</v>
      </c>
    </row>
    <row r="7">
      <c r="A7" s="2" t="inlineStr">
        <is>
          <t>Alterações 2025</t>
        </is>
      </c>
      <c r="B7" s="3" t="n">
        <v>119558375</v>
      </c>
      <c r="C7" s="3" t="n">
        <v>0</v>
      </c>
      <c r="D7" s="3" t="n">
        <v>0</v>
      </c>
      <c r="E7" s="3" t="n">
        <v>0</v>
      </c>
      <c r="F7" s="15" t="n">
        <v>119558375</v>
      </c>
    </row>
    <row r="8">
      <c r="A8" s="2" t="inlineStr">
        <is>
          <t>Despesa autorizada 2025 (DESP AUT.)</t>
        </is>
      </c>
      <c r="B8" s="3" t="n">
        <v>119558375</v>
      </c>
      <c r="C8" s="3" t="n">
        <v>0</v>
      </c>
      <c r="D8" s="3" t="n">
        <v>60000000</v>
      </c>
      <c r="E8" s="3" t="n">
        <v>60000000</v>
      </c>
      <c r="F8" s="15" t="n">
        <v>239558375</v>
      </c>
    </row>
    <row r="9">
      <c r="A9" s="16" t="inlineStr">
        <is>
          <t>Empenhado 2025</t>
        </is>
      </c>
      <c r="B9" s="7" t="n">
        <v>119558375</v>
      </c>
      <c r="C9" s="7" t="n">
        <v>0</v>
      </c>
      <c r="D9" s="7" t="n">
        <v>60000000</v>
      </c>
      <c r="E9" s="7" t="n">
        <v>60000000</v>
      </c>
      <c r="F9" s="15" t="n">
        <v>239558375</v>
      </c>
    </row>
    <row r="10">
      <c r="A10" s="2" t="inlineStr">
        <is>
          <t>Liquidado 2025</t>
        </is>
      </c>
      <c r="B10" s="3" t="n">
        <v>119558375</v>
      </c>
      <c r="C10" s="3" t="n">
        <v>0</v>
      </c>
      <c r="D10" s="3" t="n">
        <v>60000000</v>
      </c>
      <c r="E10" s="3" t="n">
        <v>60000000</v>
      </c>
      <c r="F10" s="15" t="n">
        <v>239558375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50000000</v>
      </c>
      <c r="C12" s="3" t="n">
        <v>106000000</v>
      </c>
      <c r="D12" s="3" t="n">
        <v>0</v>
      </c>
      <c r="E12" s="3" t="n">
        <v>0</v>
      </c>
      <c r="F12" s="15" t="n">
        <v>156000000</v>
      </c>
    </row>
    <row r="13">
      <c r="A13" s="2" t="inlineStr">
        <is>
          <t>Alterações 2026</t>
        </is>
      </c>
      <c r="B13" s="3" t="n">
        <v>18998910</v>
      </c>
      <c r="C13" s="3" t="n">
        <v>-38602586</v>
      </c>
      <c r="D13" s="3" t="n">
        <v>0</v>
      </c>
      <c r="E13" s="3" t="n">
        <v>0</v>
      </c>
      <c r="F13" s="15" t="n">
        <v>-19603676</v>
      </c>
    </row>
    <row r="14">
      <c r="A14" s="16" t="inlineStr">
        <is>
          <t>Dotação autorizada 2026 (LEI + ALTERAÇÃO)</t>
        </is>
      </c>
      <c r="B14" s="7" t="n">
        <v>68998910</v>
      </c>
      <c r="C14" s="7" t="n">
        <v>67397414</v>
      </c>
      <c r="D14" s="7" t="n">
        <v>0</v>
      </c>
      <c r="E14" s="7" t="n">
        <v>0</v>
      </c>
      <c r="F14" s="15" t="n">
        <v>136396324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2232178.61</v>
      </c>
      <c r="C16" s="3" t="n">
        <v>19143156.7</v>
      </c>
      <c r="D16" s="3" t="n">
        <v>0</v>
      </c>
      <c r="E16" s="3" t="n">
        <v>0</v>
      </c>
      <c r="F16" s="15" t="n">
        <v>21375335.31</v>
      </c>
    </row>
    <row r="17">
      <c r="A17" s="16" t="inlineStr">
        <is>
          <t>Despesa autorizada 2026 (DESP AUT.)</t>
        </is>
      </c>
      <c r="B17" s="7" t="n">
        <v>66766731.39</v>
      </c>
      <c r="C17" s="7" t="n">
        <v>48254257.3</v>
      </c>
      <c r="D17" s="7" t="n">
        <v>0</v>
      </c>
      <c r="E17" s="7" t="n">
        <v>0</v>
      </c>
      <c r="F17" s="15" t="n">
        <v>115020988.69</v>
      </c>
    </row>
    <row r="18">
      <c r="A18" s="16" t="inlineStr">
        <is>
          <t>Empenhado 2026 (jan–ago fechado)</t>
        </is>
      </c>
      <c r="B18" s="7" t="n">
        <v>66766731.39</v>
      </c>
      <c r="C18" s="7" t="n">
        <v>48254257.3</v>
      </c>
      <c r="D18" s="7" t="n">
        <v>0</v>
      </c>
      <c r="E18" s="7" t="n">
        <v>0</v>
      </c>
      <c r="F18" s="15" t="n">
        <v>115020988.69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-50559465</v>
      </c>
      <c r="C21" s="7" t="n">
        <v>67397414</v>
      </c>
      <c r="D21" s="7" t="n">
        <v>-60000000</v>
      </c>
      <c r="E21" s="7" t="n">
        <v>-60000000</v>
      </c>
      <c r="F21" s="15" t="n">
        <v>-103162051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66766731.39</v>
      </c>
      <c r="C23" s="3" t="n">
        <v>48254257.3</v>
      </c>
      <c r="D23" s="3" t="n">
        <v>0</v>
      </c>
      <c r="E23" s="3" t="n">
        <v>0</v>
      </c>
      <c r="F23" s="15" t="n">
        <v>115020988.69</v>
      </c>
    </row>
    <row r="24">
      <c r="A24" s="2" t="inlineStr">
        <is>
          <t>Média mensal do liquidado (abr–ago)</t>
        </is>
      </c>
      <c r="B24" s="3" t="n">
        <v>6762226.489999999</v>
      </c>
      <c r="C24" s="3" t="n">
        <v>6940183.140000001</v>
      </c>
      <c r="D24" s="3" t="n">
        <v>0</v>
      </c>
      <c r="E24" s="3" t="n">
        <v>0</v>
      </c>
      <c r="F24" s="15" t="n">
        <v>13702409.63</v>
      </c>
    </row>
    <row r="25">
      <c r="A25" s="2" t="inlineStr">
        <is>
          <t>Projeção do liquidado até dez (acum + média × meses restantes)</t>
        </is>
      </c>
      <c r="B25" s="3" t="n">
        <v>93815637.34999999</v>
      </c>
      <c r="C25" s="3" t="n">
        <v>76014989.86</v>
      </c>
      <c r="D25" s="3" t="n">
        <v>0</v>
      </c>
      <c r="E25" s="3" t="n">
        <v>0</v>
      </c>
      <c r="F25" s="15" t="n">
        <v>169830627.21</v>
      </c>
    </row>
    <row r="26">
      <c r="A26" s="16" t="inlineStr">
        <is>
          <t>Déficit/superávit vs dotação autorizada (LEI+ALT)</t>
        </is>
      </c>
      <c r="B26" s="7" t="n">
        <v>-24816727.34999999</v>
      </c>
      <c r="C26" s="7" t="n">
        <v>-8617575.859999999</v>
      </c>
      <c r="D26" s="7" t="n">
        <v>0</v>
      </c>
      <c r="E26" s="7" t="n">
        <v>0</v>
      </c>
      <c r="F26" s="15" t="n">
        <v>-33434303.20999999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66766731.39</v>
      </c>
      <c r="C28" s="3" t="n">
        <v>48254257.3</v>
      </c>
      <c r="D28" s="3" t="n">
        <v>0</v>
      </c>
      <c r="E28" s="3" t="n">
        <v>0</v>
      </c>
      <c r="F28" s="15" t="n">
        <v>115020988.69</v>
      </c>
    </row>
    <row r="29">
      <c r="A29" s="2" t="inlineStr">
        <is>
          <t>Mediana mensal do liquidado (abr–ago)</t>
        </is>
      </c>
      <c r="B29" s="3" t="n">
        <v>0</v>
      </c>
      <c r="C29" s="3" t="n">
        <v>10169132.42</v>
      </c>
      <c r="D29" s="3" t="n">
        <v>0</v>
      </c>
      <c r="E29" s="3" t="n">
        <v>0</v>
      </c>
      <c r="F29" s="15" t="n">
        <v>10169132.42</v>
      </c>
    </row>
    <row r="30">
      <c r="A30" s="2" t="inlineStr">
        <is>
          <t>Projeção do liquidado até dez (acum + mediana × meses restantes)</t>
        </is>
      </c>
      <c r="B30" s="3" t="n">
        <v>66766731.39</v>
      </c>
      <c r="C30" s="3" t="n">
        <v>88930786.97999999</v>
      </c>
      <c r="D30" s="3" t="n">
        <v>0</v>
      </c>
      <c r="E30" s="3" t="n">
        <v>0</v>
      </c>
      <c r="F30" s="15" t="n">
        <v>155697518.37</v>
      </c>
    </row>
    <row r="31">
      <c r="A31" s="16" t="inlineStr">
        <is>
          <t>Déficit/superávit vs dotação autorizada (LEI+ALT)</t>
        </is>
      </c>
      <c r="B31" s="7" t="n">
        <v>2232178.609999999</v>
      </c>
      <c r="C31" s="7" t="n">
        <v>-21533372.97999999</v>
      </c>
      <c r="D31" s="7" t="n">
        <v>0</v>
      </c>
      <c r="E31" s="7" t="n">
        <v>0</v>
      </c>
      <c r="F31" s="15" t="n">
        <v>-19301194.36999999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(R$ 136,4 mi) é inferior ao empenhado de 2025 (R$ 239,6 mi), déficit potencial de R$ 103,2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(R$ 169,8 mi) supera a dotação — déficit de R$ 33,4 mi.</t>
        </is>
      </c>
    </row>
    <row r="37" ht="33" customHeight="1">
      <c r="A37" s="18" t="inlineStr">
        <is>
          <t>4.  Comparação 3 (mediana): pela mediana dos 5 meses fechados (abr–ago), a projeção do liquidado até dez (R$ 155,7 mi) supera a dotação — déficit de R$ 19,3 mi.</t>
        </is>
      </c>
    </row>
    <row r="38" ht="18" customHeight="1">
      <c r="A38" s="18" t="inlineStr">
        <is>
          <t>5.  Recursos retidos: R$ 21,4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239558375</v>
      </c>
    </row>
    <row r="42">
      <c r="A42" s="20" t="inlineStr">
        <is>
          <t>Dotação Autorizada 2026</t>
        </is>
      </c>
      <c r="B42" s="21" t="n">
        <v>136396324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16984797.32</v>
      </c>
      <c r="C45" s="21" t="n">
        <v>136396324</v>
      </c>
    </row>
    <row r="46">
      <c r="A46" s="20" t="inlineStr">
        <is>
          <t>Fev</t>
        </is>
      </c>
      <c r="B46" s="21" t="n">
        <v>34953688.21</v>
      </c>
      <c r="C46" s="21" t="n">
        <v>136396324</v>
      </c>
    </row>
    <row r="47">
      <c r="A47" s="20" t="inlineStr">
        <is>
          <t>Mar</t>
        </is>
      </c>
      <c r="B47" s="21" t="n">
        <v>46508940.54</v>
      </c>
      <c r="C47" s="21" t="n">
        <v>136396324</v>
      </c>
    </row>
    <row r="48">
      <c r="A48" s="20" t="inlineStr">
        <is>
          <t>Abr</t>
        </is>
      </c>
      <c r="B48" s="21" t="n">
        <v>58503814.69</v>
      </c>
      <c r="C48" s="21" t="n">
        <v>136396324</v>
      </c>
    </row>
    <row r="49">
      <c r="A49" s="20" t="inlineStr">
        <is>
          <t>Mai</t>
        </is>
      </c>
      <c r="B49" s="21" t="n">
        <v>90489205.41</v>
      </c>
      <c r="C49" s="21" t="n">
        <v>136396324</v>
      </c>
    </row>
    <row r="50">
      <c r="A50" s="20" t="inlineStr">
        <is>
          <t>Jun</t>
        </is>
      </c>
      <c r="B50" s="21" t="n">
        <v>90489205.41</v>
      </c>
      <c r="C50" s="21" t="n">
        <v>136396324</v>
      </c>
    </row>
    <row r="51">
      <c r="A51" s="20" t="inlineStr">
        <is>
          <t>Jul</t>
        </is>
      </c>
      <c r="B51" s="21" t="n">
        <v>102572146.26</v>
      </c>
      <c r="C51" s="21" t="n">
        <v>136396324</v>
      </c>
    </row>
    <row r="52">
      <c r="A52" s="20" t="inlineStr">
        <is>
          <t>Ago</t>
        </is>
      </c>
      <c r="B52" s="21" t="n">
        <v>115020988.69</v>
      </c>
      <c r="C52" s="21" t="n">
        <v>136396324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239558375</v>
      </c>
    </row>
    <row r="55">
      <c r="A55" s="20" t="inlineStr">
        <is>
          <t>Dotação Autorizada 2026 (tesouro)</t>
        </is>
      </c>
      <c r="B55" s="21" t="n">
        <v>136396324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16984797.32</v>
      </c>
      <c r="C58" s="21" t="n">
        <v>136396324</v>
      </c>
    </row>
    <row r="59">
      <c r="A59" s="20" t="inlineStr">
        <is>
          <t>Fev</t>
        </is>
      </c>
      <c r="B59" s="21" t="n">
        <v>34953688.21</v>
      </c>
      <c r="C59" s="21" t="n">
        <v>136396324</v>
      </c>
    </row>
    <row r="60">
      <c r="A60" s="20" t="inlineStr">
        <is>
          <t>Mar</t>
        </is>
      </c>
      <c r="B60" s="21" t="n">
        <v>46508940.54</v>
      </c>
      <c r="C60" s="21" t="n">
        <v>136396324</v>
      </c>
    </row>
    <row r="61">
      <c r="A61" s="20" t="inlineStr">
        <is>
          <t>Abr</t>
        </is>
      </c>
      <c r="B61" s="21" t="n">
        <v>58503814.69</v>
      </c>
      <c r="C61" s="21" t="n">
        <v>136396324</v>
      </c>
    </row>
    <row r="62">
      <c r="A62" s="20" t="inlineStr">
        <is>
          <t>Mai</t>
        </is>
      </c>
      <c r="B62" s="21" t="n">
        <v>90489205.41</v>
      </c>
      <c r="C62" s="21" t="n">
        <v>136396324</v>
      </c>
    </row>
    <row r="63">
      <c r="A63" s="20" t="inlineStr">
        <is>
          <t>Jun</t>
        </is>
      </c>
      <c r="B63" s="21" t="n">
        <v>90489205.41</v>
      </c>
      <c r="C63" s="21" t="n">
        <v>136396324</v>
      </c>
    </row>
    <row r="64">
      <c r="A64" s="20" t="inlineStr">
        <is>
          <t>Jul</t>
        </is>
      </c>
      <c r="B64" s="21" t="n">
        <v>102572146.26</v>
      </c>
      <c r="C64" s="21" t="n">
        <v>136396324</v>
      </c>
    </row>
    <row r="65">
      <c r="A65" s="20" t="inlineStr">
        <is>
          <t>Ago</t>
        </is>
      </c>
      <c r="B65" s="21" t="n">
        <v>115020988.69</v>
      </c>
      <c r="C65" s="21" t="n">
        <v>136396324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9" t="inlineStr">
        <is>
          <t>04.122.8203.2422.0006 — SEEC — Concessão de Bolsa Estágio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</row>
    <row r="6">
      <c r="A6" s="2" t="inlineStr">
        <is>
          <t>Dotação inicial (LEI) 2025</t>
        </is>
      </c>
      <c r="B6" s="3" t="n">
        <v>35258996</v>
      </c>
      <c r="C6" s="15" t="n">
        <v>35258996</v>
      </c>
    </row>
    <row r="7">
      <c r="A7" s="2" t="inlineStr">
        <is>
          <t>Alterações 2025</t>
        </is>
      </c>
      <c r="B7" s="3" t="n">
        <v>-20111401</v>
      </c>
      <c r="C7" s="15" t="n">
        <v>-20111401</v>
      </c>
    </row>
    <row r="8">
      <c r="A8" s="2" t="inlineStr">
        <is>
          <t>Despesa autorizada 2025 (DESP AUT.)</t>
        </is>
      </c>
      <c r="B8" s="3" t="n">
        <v>15147594.34</v>
      </c>
      <c r="C8" s="15" t="n">
        <v>15147594.34</v>
      </c>
    </row>
    <row r="9">
      <c r="A9" s="16" t="inlineStr">
        <is>
          <t>Empenhado 2025</t>
        </is>
      </c>
      <c r="B9" s="7" t="n">
        <v>13284259.79</v>
      </c>
      <c r="C9" s="15" t="n">
        <v>13284259.79</v>
      </c>
    </row>
    <row r="10">
      <c r="A10" s="2" t="inlineStr">
        <is>
          <t>Liquidado 2025</t>
        </is>
      </c>
      <c r="B10" s="3" t="n">
        <v>11284259.79</v>
      </c>
      <c r="C10" s="15" t="n">
        <v>11284259.79</v>
      </c>
    </row>
    <row r="11">
      <c r="A11" s="13" t="inlineStr">
        <is>
          <t>ORÇAMENTO 2026 (posição do arquivo)</t>
        </is>
      </c>
      <c r="B11" s="14" t="n"/>
      <c r="C11" s="14" t="n"/>
    </row>
    <row r="12">
      <c r="A12" s="2" t="inlineStr">
        <is>
          <t>Dotação inicial (LEI) 2026</t>
        </is>
      </c>
      <c r="B12" s="3" t="n">
        <v>32500000</v>
      </c>
      <c r="C12" s="15" t="n">
        <v>32500000</v>
      </c>
    </row>
    <row r="13">
      <c r="A13" s="2" t="inlineStr">
        <is>
          <t>Alterações 2026</t>
        </is>
      </c>
      <c r="B13" s="3" t="n">
        <v>-12025673</v>
      </c>
      <c r="C13" s="15" t="n">
        <v>-12025673</v>
      </c>
    </row>
    <row r="14">
      <c r="A14" s="16" t="inlineStr">
        <is>
          <t>Dotação autorizada 2026 (LEI + ALTERAÇÃO)</t>
        </is>
      </c>
      <c r="B14" s="7" t="n">
        <v>20474327</v>
      </c>
      <c r="C14" s="15" t="n">
        <v>20474327</v>
      </c>
    </row>
    <row r="15">
      <c r="A15" s="2" t="inlineStr">
        <is>
          <t>Cota a liberar 2026</t>
        </is>
      </c>
      <c r="B15" s="3" t="n">
        <v>0.78</v>
      </c>
      <c r="C15" s="15" t="n">
        <v>0.78</v>
      </c>
    </row>
    <row r="16">
      <c r="A16" s="2" t="inlineStr">
        <is>
          <t>Contingenciado 2026</t>
        </is>
      </c>
      <c r="B16" s="3" t="n">
        <v>1.02</v>
      </c>
      <c r="C16" s="15" t="n">
        <v>1.02</v>
      </c>
    </row>
    <row r="17">
      <c r="A17" s="16" t="inlineStr">
        <is>
          <t>Despesa autorizada 2026 (DESP AUT.)</t>
        </is>
      </c>
      <c r="B17" s="7" t="n">
        <v>20474325.2</v>
      </c>
      <c r="C17" s="15" t="n">
        <v>20474325.2</v>
      </c>
    </row>
    <row r="18">
      <c r="A18" s="16" t="inlineStr">
        <is>
          <t>Empenhado 2026 (jan–ago fechado)</t>
        </is>
      </c>
      <c r="B18" s="7" t="n">
        <v>20473785.88</v>
      </c>
      <c r="C18" s="15" t="n">
        <v>20473785.88</v>
      </c>
    </row>
    <row r="19">
      <c r="A19" s="2" t="inlineStr">
        <is>
          <t>Disponível 2026 (saldo)</t>
        </is>
      </c>
      <c r="B19" s="3" t="n">
        <v>539.3200000000001</v>
      </c>
      <c r="C19" s="15" t="n">
        <v>539.3200000000001</v>
      </c>
    </row>
    <row r="20">
      <c r="A20" s="13" t="inlineStr">
        <is>
          <t>COMPARAÇÃO 1 — EMPENHO 2025 × ORÇAMENTO 2026</t>
        </is>
      </c>
      <c r="B20" s="14" t="n"/>
      <c r="C20" s="14" t="n"/>
    </row>
    <row r="21">
      <c r="A21" s="16" t="inlineStr">
        <is>
          <t>Déficit/superávit vs dotação autorizada (LEI+ALT)</t>
        </is>
      </c>
      <c r="B21" s="7" t="n">
        <v>7190067.210000001</v>
      </c>
      <c r="C21" s="15" t="n">
        <v>7190067.210000001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</row>
    <row r="23">
      <c r="A23" s="2" t="inlineStr">
        <is>
          <t>Liquidado acumulado 2026 (jan–ago)</t>
        </is>
      </c>
      <c r="B23" s="3" t="n">
        <v>5922520.01</v>
      </c>
      <c r="C23" s="15" t="n">
        <v>5922520.01</v>
      </c>
    </row>
    <row r="24">
      <c r="A24" s="2" t="inlineStr">
        <is>
          <t>Média mensal do liquidado (abr–ago)</t>
        </is>
      </c>
      <c r="B24" s="3" t="n">
        <v>750278.438</v>
      </c>
      <c r="C24" s="15" t="n">
        <v>750278.438</v>
      </c>
    </row>
    <row r="25">
      <c r="A25" s="2" t="inlineStr">
        <is>
          <t>Projeção do liquidado até dez (acum + média × meses restantes)</t>
        </is>
      </c>
      <c r="B25" s="3" t="n">
        <v>8923633.762</v>
      </c>
      <c r="C25" s="15" t="n">
        <v>8923633.762</v>
      </c>
    </row>
    <row r="26">
      <c r="A26" s="16" t="inlineStr">
        <is>
          <t>Déficit/superávit vs dotação autorizada (LEI+ALT)</t>
        </is>
      </c>
      <c r="B26" s="7" t="n">
        <v>11550693.238</v>
      </c>
      <c r="C26" s="15" t="n">
        <v>11550693.238</v>
      </c>
    </row>
    <row r="27">
      <c r="A27" s="13" t="inlineStr">
        <is>
          <t>COMPARAÇÃO 3 — PROJEÇÃO DO LIQUIDADO (mediana abr–ago, 5 meses)</t>
        </is>
      </c>
      <c r="B27" s="14" t="n"/>
      <c r="C27" s="14" t="n"/>
    </row>
    <row r="28">
      <c r="A28" s="2" t="inlineStr">
        <is>
          <t>Liquidado acumulado 2026 (jan–ago)</t>
        </is>
      </c>
      <c r="B28" s="3" t="n">
        <v>5922520.01</v>
      </c>
      <c r="C28" s="15" t="n">
        <v>5922520.01</v>
      </c>
    </row>
    <row r="29">
      <c r="A29" s="2" t="inlineStr">
        <is>
          <t>Mediana mensal do liquidado (abr–ago)</t>
        </is>
      </c>
      <c r="B29" s="3" t="n">
        <v>790991.76</v>
      </c>
      <c r="C29" s="15" t="n">
        <v>790991.76</v>
      </c>
    </row>
    <row r="30">
      <c r="A30" s="2" t="inlineStr">
        <is>
          <t>Projeção do liquidado até dez (acum + mediana × meses restantes)</t>
        </is>
      </c>
      <c r="B30" s="3" t="n">
        <v>9086487.050000001</v>
      </c>
      <c r="C30" s="15" t="n">
        <v>9086487.050000001</v>
      </c>
    </row>
    <row r="31">
      <c r="A31" s="16" t="inlineStr">
        <is>
          <t>Déficit/superávit vs dotação autorizada (LEI+ALT)</t>
        </is>
      </c>
      <c r="B31" s="7" t="n">
        <v>11387839.95</v>
      </c>
      <c r="C31" s="15" t="n">
        <v>11387839.95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(R$ 20,5 mi) supera o empenhado de 2025 (R$ 13,3 mi), folga de R$ 7,2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(R$ 8,9 mi) fica abaixo da dotação — folga de R$ 11,6 mi.</t>
        </is>
      </c>
    </row>
    <row r="37" ht="33" customHeight="1">
      <c r="A37" s="18" t="inlineStr">
        <is>
          <t>4.  Comparação 3 (mediana): pela mediana dos 5 meses fechados (abr–ago), a projeção do liquidado até dez (R$ 9,1 mi) fica abaixo da dotação — folga de R$ 11,4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13284259.79</v>
      </c>
    </row>
    <row r="41">
      <c r="A41" s="20" t="inlineStr">
        <is>
          <t>Dotação Autorizada 2026</t>
        </is>
      </c>
      <c r="B41" s="21" t="n">
        <v>20474327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20474327</v>
      </c>
    </row>
    <row r="45">
      <c r="A45" s="20" t="inlineStr">
        <is>
          <t>Fev</t>
        </is>
      </c>
      <c r="B45" s="21" t="n">
        <v>1118498.7</v>
      </c>
      <c r="C45" s="21" t="n">
        <v>20474327</v>
      </c>
    </row>
    <row r="46">
      <c r="A46" s="20" t="inlineStr">
        <is>
          <t>Mar</t>
        </is>
      </c>
      <c r="B46" s="21" t="n">
        <v>2171127.82</v>
      </c>
      <c r="C46" s="21" t="n">
        <v>20474327</v>
      </c>
    </row>
    <row r="47">
      <c r="A47" s="20" t="inlineStr">
        <is>
          <t>Abr</t>
        </is>
      </c>
      <c r="B47" s="21" t="n">
        <v>3183440.14</v>
      </c>
      <c r="C47" s="21" t="n">
        <v>20474327</v>
      </c>
    </row>
    <row r="48">
      <c r="A48" s="20" t="inlineStr">
        <is>
          <t>Mai</t>
        </is>
      </c>
      <c r="B48" s="21" t="n">
        <v>3527550.35</v>
      </c>
      <c r="C48" s="21" t="n">
        <v>20474327</v>
      </c>
    </row>
    <row r="49">
      <c r="A49" s="20" t="inlineStr">
        <is>
          <t>Jun</t>
        </is>
      </c>
      <c r="B49" s="21" t="n">
        <v>4342456.67</v>
      </c>
      <c r="C49" s="21" t="n">
        <v>20474327</v>
      </c>
    </row>
    <row r="50">
      <c r="A50" s="20" t="inlineStr">
        <is>
          <t>Jul</t>
        </is>
      </c>
      <c r="B50" s="21" t="n">
        <v>5131528.25</v>
      </c>
      <c r="C50" s="21" t="n">
        <v>20474327</v>
      </c>
    </row>
    <row r="51">
      <c r="A51" s="20" t="inlineStr">
        <is>
          <t>Ago</t>
        </is>
      </c>
      <c r="B51" s="21" t="n">
        <v>5922520.01</v>
      </c>
      <c r="C51" s="21" t="n">
        <v>20474327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13284259.79</v>
      </c>
    </row>
    <row r="54">
      <c r="A54" s="20" t="inlineStr">
        <is>
          <t>Dotação Autorizada 2026 (tesouro)</t>
        </is>
      </c>
      <c r="B54" s="21" t="n">
        <v>20474327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20474327</v>
      </c>
    </row>
    <row r="58">
      <c r="A58" s="20" t="inlineStr">
        <is>
          <t>Fev</t>
        </is>
      </c>
      <c r="B58" s="21" t="n">
        <v>1118498.7</v>
      </c>
      <c r="C58" s="21" t="n">
        <v>20474327</v>
      </c>
    </row>
    <row r="59">
      <c r="A59" s="20" t="inlineStr">
        <is>
          <t>Mar</t>
        </is>
      </c>
      <c r="B59" s="21" t="n">
        <v>2171127.82</v>
      </c>
      <c r="C59" s="21" t="n">
        <v>20474327</v>
      </c>
    </row>
    <row r="60">
      <c r="A60" s="20" t="inlineStr">
        <is>
          <t>Abr</t>
        </is>
      </c>
      <c r="B60" s="21" t="n">
        <v>3183440.14</v>
      </c>
      <c r="C60" s="21" t="n">
        <v>20474327</v>
      </c>
    </row>
    <row r="61">
      <c r="A61" s="20" t="inlineStr">
        <is>
          <t>Mai</t>
        </is>
      </c>
      <c r="B61" s="21" t="n">
        <v>3527550.35</v>
      </c>
      <c r="C61" s="21" t="n">
        <v>20474327</v>
      </c>
    </row>
    <row r="62">
      <c r="A62" s="20" t="inlineStr">
        <is>
          <t>Jun</t>
        </is>
      </c>
      <c r="B62" s="21" t="n">
        <v>4342456.67</v>
      </c>
      <c r="C62" s="21" t="n">
        <v>20474327</v>
      </c>
    </row>
    <row r="63">
      <c r="A63" s="20" t="inlineStr">
        <is>
          <t>Jul</t>
        </is>
      </c>
      <c r="B63" s="21" t="n">
        <v>5131528.25</v>
      </c>
      <c r="C63" s="21" t="n">
        <v>20474327</v>
      </c>
    </row>
    <row r="64">
      <c r="A64" s="20" t="inlineStr">
        <is>
          <t>Ago</t>
        </is>
      </c>
      <c r="B64" s="21" t="n">
        <v>5922520.01</v>
      </c>
      <c r="C64" s="21" t="n">
        <v>20474327</v>
      </c>
    </row>
  </sheetData>
  <mergeCells count="5">
    <mergeCell ref="A36:C36"/>
    <mergeCell ref="A33:C33"/>
    <mergeCell ref="A37:C37"/>
    <mergeCell ref="A34:C34"/>
    <mergeCell ref="A35:C3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04.122.8203.2984.0001 — SEEC — Manutenção da Frota Oficial de Veículos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183</t>
        </is>
      </c>
      <c r="D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</row>
    <row r="6">
      <c r="A6" s="2" t="inlineStr">
        <is>
          <t>Dotação inicial (LEI) 2025</t>
        </is>
      </c>
      <c r="B6" s="3" t="n">
        <v>18073000</v>
      </c>
      <c r="C6" s="3" t="n">
        <v>44500000</v>
      </c>
      <c r="D6" s="15" t="n">
        <v>62573000</v>
      </c>
    </row>
    <row r="7">
      <c r="A7" s="2" t="inlineStr">
        <is>
          <t>Alterações 2025</t>
        </is>
      </c>
      <c r="B7" s="3" t="n">
        <v>4212589</v>
      </c>
      <c r="C7" s="3" t="n">
        <v>-3000000</v>
      </c>
      <c r="D7" s="15" t="n">
        <v>1212589</v>
      </c>
    </row>
    <row r="8">
      <c r="A8" s="2" t="inlineStr">
        <is>
          <t>Despesa autorizada 2025 (DESP AUT.)</t>
        </is>
      </c>
      <c r="B8" s="3" t="n">
        <v>22285589</v>
      </c>
      <c r="C8" s="3" t="n">
        <v>41500000</v>
      </c>
      <c r="D8" s="15" t="n">
        <v>63785589</v>
      </c>
    </row>
    <row r="9">
      <c r="A9" s="16" t="inlineStr">
        <is>
          <t>Empenhado 2025</t>
        </is>
      </c>
      <c r="B9" s="7" t="n">
        <v>22285589</v>
      </c>
      <c r="C9" s="7" t="n">
        <v>41483672.48</v>
      </c>
      <c r="D9" s="15" t="n">
        <v>63769261.48</v>
      </c>
    </row>
    <row r="10">
      <c r="A10" s="2" t="inlineStr">
        <is>
          <t>Liquidado 2025</t>
        </is>
      </c>
      <c r="B10" s="3" t="n">
        <v>20854693.28</v>
      </c>
      <c r="C10" s="3" t="n">
        <v>37984240.06</v>
      </c>
      <c r="D10" s="15" t="n">
        <v>58838933.34</v>
      </c>
    </row>
    <row r="11">
      <c r="A11" s="13" t="inlineStr">
        <is>
          <t>ORÇAMENTO 2026 (posição do arquivo)</t>
        </is>
      </c>
      <c r="B11" s="14" t="n"/>
      <c r="C11" s="14" t="n"/>
      <c r="D11" s="14" t="n"/>
    </row>
    <row r="12">
      <c r="A12" s="2" t="inlineStr">
        <is>
          <t>Dotação inicial (LEI) 2026</t>
        </is>
      </c>
      <c r="B12" s="3" t="n">
        <v>0</v>
      </c>
      <c r="C12" s="3" t="n">
        <v>84900000</v>
      </c>
      <c r="D12" s="15" t="n">
        <v>84900000</v>
      </c>
    </row>
    <row r="13">
      <c r="A13" s="2" t="inlineStr">
        <is>
          <t>Alterações 2026</t>
        </is>
      </c>
      <c r="B13" s="3" t="n">
        <v>4862439</v>
      </c>
      <c r="C13" s="3" t="n">
        <v>-11592309</v>
      </c>
      <c r="D13" s="15" t="n">
        <v>-6729870</v>
      </c>
    </row>
    <row r="14">
      <c r="A14" s="16" t="inlineStr">
        <is>
          <t>Dotação autorizada 2026 (LEI + ALTERAÇÃO)</t>
        </is>
      </c>
      <c r="B14" s="7" t="n">
        <v>4862439</v>
      </c>
      <c r="C14" s="7" t="n">
        <v>73307691</v>
      </c>
      <c r="D14" s="15" t="n">
        <v>78170130</v>
      </c>
    </row>
    <row r="15">
      <c r="A15" s="2" t="inlineStr">
        <is>
          <t>Cota a liberar 2026</t>
        </is>
      </c>
      <c r="B15" s="3" t="n">
        <v>0</v>
      </c>
      <c r="C15" s="3" t="n">
        <v>877239.96</v>
      </c>
      <c r="D15" s="15" t="n">
        <v>877239.96</v>
      </c>
    </row>
    <row r="16">
      <c r="A16" s="2" t="inlineStr">
        <is>
          <t>Contingenciado 2026</t>
        </is>
      </c>
      <c r="B16" s="3" t="n">
        <v>558959.16</v>
      </c>
      <c r="C16" s="3" t="n">
        <v>76895.36</v>
      </c>
      <c r="D16" s="15" t="n">
        <v>635854.52</v>
      </c>
    </row>
    <row r="17">
      <c r="A17" s="16" t="inlineStr">
        <is>
          <t>Despesa autorizada 2026 (DESP AUT.)</t>
        </is>
      </c>
      <c r="B17" s="7" t="n">
        <v>4303479.84</v>
      </c>
      <c r="C17" s="7" t="n">
        <v>72353555.68000001</v>
      </c>
      <c r="D17" s="15" t="n">
        <v>76657035.52000001</v>
      </c>
    </row>
    <row r="18">
      <c r="A18" s="16" t="inlineStr">
        <is>
          <t>Empenhado 2026 (jan–ago fechado)</t>
        </is>
      </c>
      <c r="B18" s="7" t="n">
        <v>4299253.49</v>
      </c>
      <c r="C18" s="7" t="n">
        <v>72353554.86</v>
      </c>
      <c r="D18" s="15" t="n">
        <v>76652808.34999999</v>
      </c>
    </row>
    <row r="19">
      <c r="A19" s="2" t="inlineStr">
        <is>
          <t>Disponível 2026 (saldo)</t>
        </is>
      </c>
      <c r="B19" s="3" t="n">
        <v>4226.35</v>
      </c>
      <c r="C19" s="3" t="n">
        <v>0.8200000000000001</v>
      </c>
      <c r="D19" s="15" t="n">
        <v>4227.17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</row>
    <row r="21">
      <c r="A21" s="16" t="inlineStr">
        <is>
          <t>Déficit/superávit vs dotação autorizada (LEI+ALT)</t>
        </is>
      </c>
      <c r="B21" s="7" t="n">
        <v>-17423150</v>
      </c>
      <c r="C21" s="7" t="n">
        <v>31824018.52</v>
      </c>
      <c r="D21" s="15" t="n">
        <v>14400868.52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</row>
    <row r="23">
      <c r="A23" s="2" t="inlineStr">
        <is>
          <t>Liquidado acumulado 2026 (jan–ago)</t>
        </is>
      </c>
      <c r="B23" s="3" t="n">
        <v>1179912.64</v>
      </c>
      <c r="C23" s="3" t="n">
        <v>40235343.31</v>
      </c>
      <c r="D23" s="15" t="n">
        <v>41415255.95</v>
      </c>
    </row>
    <row r="24">
      <c r="A24" s="2" t="inlineStr">
        <is>
          <t>Média mensal do liquidado (abr–ago)</t>
        </is>
      </c>
      <c r="B24" s="3" t="n">
        <v>235982.528</v>
      </c>
      <c r="C24" s="3" t="n">
        <v>5631066.854</v>
      </c>
      <c r="D24" s="15" t="n">
        <v>5867049.382</v>
      </c>
    </row>
    <row r="25">
      <c r="A25" s="2" t="inlineStr">
        <is>
          <t>Projeção do liquidado até dez (acum + média × meses restantes)</t>
        </is>
      </c>
      <c r="B25" s="3" t="n">
        <v>2123842.752</v>
      </c>
      <c r="C25" s="3" t="n">
        <v>62759610.726</v>
      </c>
      <c r="D25" s="15" t="n">
        <v>64883453.478</v>
      </c>
    </row>
    <row r="26">
      <c r="A26" s="16" t="inlineStr">
        <is>
          <t>Déficit/superávit vs dotação autorizada (LEI+ALT)</t>
        </is>
      </c>
      <c r="B26" s="7" t="n">
        <v>2738596.248</v>
      </c>
      <c r="C26" s="7" t="n">
        <v>10548080.274</v>
      </c>
      <c r="D26" s="15" t="n">
        <v>13286676.522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</row>
    <row r="28">
      <c r="A28" s="2" t="inlineStr">
        <is>
          <t>Liquidado acumulado 2026 (jan–ago)</t>
        </is>
      </c>
      <c r="B28" s="3" t="n">
        <v>1179912.64</v>
      </c>
      <c r="C28" s="3" t="n">
        <v>40235343.31</v>
      </c>
      <c r="D28" s="15" t="n">
        <v>41415255.95</v>
      </c>
    </row>
    <row r="29">
      <c r="A29" s="2" t="inlineStr">
        <is>
          <t>Mediana mensal do liquidado (abr–ago)</t>
        </is>
      </c>
      <c r="B29" s="3" t="n">
        <v>369850</v>
      </c>
      <c r="C29" s="3" t="n">
        <v>5612943.61</v>
      </c>
      <c r="D29" s="15" t="n">
        <v>5982793.61</v>
      </c>
    </row>
    <row r="30">
      <c r="A30" s="2" t="inlineStr">
        <is>
          <t>Projeção do liquidado até dez (acum + mediana × meses restantes)</t>
        </is>
      </c>
      <c r="B30" s="3" t="n">
        <v>2659312.64</v>
      </c>
      <c r="C30" s="3" t="n">
        <v>62687117.75</v>
      </c>
      <c r="D30" s="15" t="n">
        <v>65346430.39</v>
      </c>
    </row>
    <row r="31">
      <c r="A31" s="16" t="inlineStr">
        <is>
          <t>Déficit/superávit vs dotação autorizada (LEI+ALT)</t>
        </is>
      </c>
      <c r="B31" s="7" t="n">
        <v>2203126.36</v>
      </c>
      <c r="C31" s="7" t="n">
        <v>10620573.25</v>
      </c>
      <c r="D31" s="15" t="n">
        <v>12823699.61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(R$ 78,2 mi) supera o empenhado de 2025 (R$ 63,8 mi), folga de R$ 14,4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(R$ 64,9 mi) fica abaixo da dotação — folga de R$ 13,3 mi.</t>
        </is>
      </c>
    </row>
    <row r="37" ht="33" customHeight="1">
      <c r="A37" s="18" t="inlineStr">
        <is>
          <t>4.  Comparação 3 (mediana): pela mediana dos 5 meses fechados (abr–ago), a projeção do liquidado até dez (R$ 65,3 mi) fica abaixo da dotação — folga de R$ 12,8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63769261.48</v>
      </c>
    </row>
    <row r="41">
      <c r="A41" s="20" t="inlineStr">
        <is>
          <t>Dotação Autorizada 2026</t>
        </is>
      </c>
      <c r="B41" s="21" t="n">
        <v>78170130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78170130</v>
      </c>
    </row>
    <row r="45">
      <c r="A45" s="20" t="inlineStr">
        <is>
          <t>Fev</t>
        </is>
      </c>
      <c r="B45" s="21" t="n">
        <v>2500279.04</v>
      </c>
      <c r="C45" s="21" t="n">
        <v>78170130</v>
      </c>
    </row>
    <row r="46">
      <c r="A46" s="20" t="inlineStr">
        <is>
          <t>Mar</t>
        </is>
      </c>
      <c r="B46" s="21" t="n">
        <v>12080009.04</v>
      </c>
      <c r="C46" s="21" t="n">
        <v>78170130</v>
      </c>
    </row>
    <row r="47">
      <c r="A47" s="20" t="inlineStr">
        <is>
          <t>Abr</t>
        </is>
      </c>
      <c r="B47" s="21" t="n">
        <v>17692952.65</v>
      </c>
      <c r="C47" s="21" t="n">
        <v>78170130</v>
      </c>
    </row>
    <row r="48">
      <c r="A48" s="20" t="inlineStr">
        <is>
          <t>Mai</t>
        </is>
      </c>
      <c r="B48" s="21" t="n">
        <v>25362469.09</v>
      </c>
      <c r="C48" s="21" t="n">
        <v>78170130</v>
      </c>
    </row>
    <row r="49">
      <c r="A49" s="20" t="inlineStr">
        <is>
          <t>Jun</t>
        </is>
      </c>
      <c r="B49" s="21" t="n">
        <v>26742010.05</v>
      </c>
      <c r="C49" s="21" t="n">
        <v>78170130</v>
      </c>
    </row>
    <row r="50">
      <c r="A50" s="20" t="inlineStr">
        <is>
          <t>Jul</t>
        </is>
      </c>
      <c r="B50" s="21" t="n">
        <v>41403057.23</v>
      </c>
      <c r="C50" s="21" t="n">
        <v>78170130</v>
      </c>
    </row>
    <row r="51">
      <c r="A51" s="20" t="inlineStr">
        <is>
          <t>Ago</t>
        </is>
      </c>
      <c r="B51" s="21" t="n">
        <v>41415255.95</v>
      </c>
      <c r="C51" s="21" t="n">
        <v>78170130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63769261.48</v>
      </c>
    </row>
    <row r="54">
      <c r="A54" s="20" t="inlineStr">
        <is>
          <t>Dotação Autorizada 2026 (tesouro)</t>
        </is>
      </c>
      <c r="B54" s="21" t="n">
        <v>78170130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78170130</v>
      </c>
    </row>
    <row r="58">
      <c r="A58" s="20" t="inlineStr">
        <is>
          <t>Fev</t>
        </is>
      </c>
      <c r="B58" s="21" t="n">
        <v>2500279.04</v>
      </c>
      <c r="C58" s="21" t="n">
        <v>78170130</v>
      </c>
    </row>
    <row r="59">
      <c r="A59" s="20" t="inlineStr">
        <is>
          <t>Mar</t>
        </is>
      </c>
      <c r="B59" s="21" t="n">
        <v>12080009.04</v>
      </c>
      <c r="C59" s="21" t="n">
        <v>78170130</v>
      </c>
    </row>
    <row r="60">
      <c r="A60" s="20" t="inlineStr">
        <is>
          <t>Abr</t>
        </is>
      </c>
      <c r="B60" s="21" t="n">
        <v>17692952.65</v>
      </c>
      <c r="C60" s="21" t="n">
        <v>78170130</v>
      </c>
    </row>
    <row r="61">
      <c r="A61" s="20" t="inlineStr">
        <is>
          <t>Mai</t>
        </is>
      </c>
      <c r="B61" s="21" t="n">
        <v>25362469.09</v>
      </c>
      <c r="C61" s="21" t="n">
        <v>78170130</v>
      </c>
    </row>
    <row r="62">
      <c r="A62" s="20" t="inlineStr">
        <is>
          <t>Jun</t>
        </is>
      </c>
      <c r="B62" s="21" t="n">
        <v>26742010.05</v>
      </c>
      <c r="C62" s="21" t="n">
        <v>78170130</v>
      </c>
    </row>
    <row r="63">
      <c r="A63" s="20" t="inlineStr">
        <is>
          <t>Jul</t>
        </is>
      </c>
      <c r="B63" s="21" t="n">
        <v>41403057.23</v>
      </c>
      <c r="C63" s="21" t="n">
        <v>78170130</v>
      </c>
    </row>
    <row r="64">
      <c r="A64" s="20" t="inlineStr">
        <is>
          <t>Ago</t>
        </is>
      </c>
      <c r="B64" s="21" t="n">
        <v>41415255.95</v>
      </c>
      <c r="C64" s="21" t="n">
        <v>78170130</v>
      </c>
    </row>
  </sheetData>
  <mergeCells count="5">
    <mergeCell ref="A37:D37"/>
    <mergeCell ref="A34:D34"/>
    <mergeCell ref="A35:D35"/>
    <mergeCell ref="A33:D33"/>
    <mergeCell ref="A36:D36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04.122.8203.2990.0008 — SEEC — Manutenção de Bens Imóveis do GDF (Limpeza)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161</t>
        </is>
      </c>
      <c r="E4" s="12" t="inlineStr">
        <is>
          <t>FONTE 178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38000000</v>
      </c>
      <c r="C6" s="3" t="n">
        <v>0</v>
      </c>
      <c r="D6" s="3" t="n">
        <v>0</v>
      </c>
      <c r="E6" s="3" t="n">
        <v>50000000</v>
      </c>
      <c r="F6" s="15" t="n">
        <v>88000000</v>
      </c>
    </row>
    <row r="7">
      <c r="A7" s="2" t="inlineStr">
        <is>
          <t>Alterações 2025</t>
        </is>
      </c>
      <c r="B7" s="3" t="n">
        <v>23683236</v>
      </c>
      <c r="C7" s="3" t="n">
        <v>0</v>
      </c>
      <c r="D7" s="3" t="n">
        <v>13957338</v>
      </c>
      <c r="E7" s="3" t="n">
        <v>0</v>
      </c>
      <c r="F7" s="15" t="n">
        <v>37640574</v>
      </c>
    </row>
    <row r="8">
      <c r="A8" s="2" t="inlineStr">
        <is>
          <t>Despesa autorizada 2025 (DESP AUT.)</t>
        </is>
      </c>
      <c r="B8" s="3" t="n">
        <v>61683236</v>
      </c>
      <c r="C8" s="3" t="n">
        <v>0</v>
      </c>
      <c r="D8" s="3" t="n">
        <v>13957338</v>
      </c>
      <c r="E8" s="3" t="n">
        <v>50000000</v>
      </c>
      <c r="F8" s="15" t="n">
        <v>125640574</v>
      </c>
    </row>
    <row r="9">
      <c r="A9" s="16" t="inlineStr">
        <is>
          <t>Empenhado 2025</t>
        </is>
      </c>
      <c r="B9" s="7" t="n">
        <v>61661641.5</v>
      </c>
      <c r="C9" s="7" t="n">
        <v>0</v>
      </c>
      <c r="D9" s="7" t="n">
        <v>13918036.09</v>
      </c>
      <c r="E9" s="7" t="n">
        <v>49999999.99</v>
      </c>
      <c r="F9" s="15" t="n">
        <v>125579677.58</v>
      </c>
    </row>
    <row r="10">
      <c r="A10" s="2" t="inlineStr">
        <is>
          <t>Liquidado 2025</t>
        </is>
      </c>
      <c r="B10" s="3" t="n">
        <v>52866049.85</v>
      </c>
      <c r="C10" s="3" t="n">
        <v>0</v>
      </c>
      <c r="D10" s="3" t="n">
        <v>9749822.01</v>
      </c>
      <c r="E10" s="3" t="n">
        <v>49999999.99</v>
      </c>
      <c r="F10" s="15" t="n">
        <v>112615871.85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68468816</v>
      </c>
      <c r="C12" s="3" t="n">
        <v>61531184</v>
      </c>
      <c r="D12" s="3" t="n">
        <v>0</v>
      </c>
      <c r="E12" s="3" t="n">
        <v>0</v>
      </c>
      <c r="F12" s="15" t="n">
        <v>130000000</v>
      </c>
    </row>
    <row r="13">
      <c r="A13" s="2" t="inlineStr">
        <is>
          <t>Alterações 2026</t>
        </is>
      </c>
      <c r="B13" s="3" t="n">
        <v>-16375802</v>
      </c>
      <c r="C13" s="3" t="n">
        <v>0</v>
      </c>
      <c r="D13" s="3" t="n">
        <v>0</v>
      </c>
      <c r="E13" s="3" t="n">
        <v>0</v>
      </c>
      <c r="F13" s="15" t="n">
        <v>-16375802</v>
      </c>
    </row>
    <row r="14">
      <c r="A14" s="16" t="inlineStr">
        <is>
          <t>Dotação autorizada 2026 (LEI + ALTERAÇÃO)</t>
        </is>
      </c>
      <c r="B14" s="7" t="n">
        <v>52093014</v>
      </c>
      <c r="C14" s="7" t="n">
        <v>61531184</v>
      </c>
      <c r="D14" s="7" t="n">
        <v>0</v>
      </c>
      <c r="E14" s="7" t="n">
        <v>0</v>
      </c>
      <c r="F14" s="15" t="n">
        <v>113624198</v>
      </c>
    </row>
    <row r="15">
      <c r="A15" s="2" t="inlineStr">
        <is>
          <t>Cota a liberar 2026</t>
        </is>
      </c>
      <c r="B15" s="3" t="n">
        <v>9941589.57</v>
      </c>
      <c r="C15" s="3" t="n">
        <v>26810132.18</v>
      </c>
      <c r="D15" s="3" t="n">
        <v>0</v>
      </c>
      <c r="E15" s="3" t="n">
        <v>0</v>
      </c>
      <c r="F15" s="15" t="n">
        <v>36751721.75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42151424.43</v>
      </c>
      <c r="C17" s="7" t="n">
        <v>34721051.82</v>
      </c>
      <c r="D17" s="7" t="n">
        <v>0</v>
      </c>
      <c r="E17" s="7" t="n">
        <v>0</v>
      </c>
      <c r="F17" s="15" t="n">
        <v>76872476.25</v>
      </c>
    </row>
    <row r="18">
      <c r="A18" s="16" t="inlineStr">
        <is>
          <t>Empenhado 2026 (jan–ago fechado)</t>
        </is>
      </c>
      <c r="B18" s="7" t="n">
        <v>42151424.43</v>
      </c>
      <c r="C18" s="7" t="n">
        <v>34721051.82</v>
      </c>
      <c r="D18" s="7" t="n">
        <v>0</v>
      </c>
      <c r="E18" s="7" t="n">
        <v>0</v>
      </c>
      <c r="F18" s="15" t="n">
        <v>76872476.25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-9568627.5</v>
      </c>
      <c r="C21" s="7" t="n">
        <v>61531184</v>
      </c>
      <c r="D21" s="7" t="n">
        <v>-13918036.09</v>
      </c>
      <c r="E21" s="7" t="n">
        <v>-49999999.99</v>
      </c>
      <c r="F21" s="15" t="n">
        <v>-11955479.58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38118614.38</v>
      </c>
      <c r="C23" s="3" t="n">
        <v>34480379.59</v>
      </c>
      <c r="D23" s="3" t="n">
        <v>0</v>
      </c>
      <c r="E23" s="3" t="n">
        <v>0</v>
      </c>
      <c r="F23" s="15" t="n">
        <v>72598993.97</v>
      </c>
    </row>
    <row r="24">
      <c r="A24" s="2" t="inlineStr">
        <is>
          <t>Média mensal do liquidado (abr–ago)</t>
        </is>
      </c>
      <c r="B24" s="3" t="n">
        <v>4633150.328</v>
      </c>
      <c r="C24" s="3" t="n">
        <v>5092472.736</v>
      </c>
      <c r="D24" s="3" t="n">
        <v>0</v>
      </c>
      <c r="E24" s="3" t="n">
        <v>0</v>
      </c>
      <c r="F24" s="15" t="n">
        <v>9725623.063999999</v>
      </c>
    </row>
    <row r="25">
      <c r="A25" s="2" t="inlineStr">
        <is>
          <t>Projeção do liquidado até dez (acum + média × meses restantes)</t>
        </is>
      </c>
      <c r="B25" s="3" t="n">
        <v>56651215.692</v>
      </c>
      <c r="C25" s="3" t="n">
        <v>54850270.534</v>
      </c>
      <c r="D25" s="3" t="n">
        <v>0</v>
      </c>
      <c r="E25" s="3" t="n">
        <v>0</v>
      </c>
      <c r="F25" s="15" t="n">
        <v>111501486.226</v>
      </c>
    </row>
    <row r="26">
      <c r="A26" s="16" t="inlineStr">
        <is>
          <t>Déficit/superávit vs dotação autorizada (LEI+ALT)</t>
        </is>
      </c>
      <c r="B26" s="7" t="n">
        <v>-4558201.692000002</v>
      </c>
      <c r="C26" s="7" t="n">
        <v>6680913.465999998</v>
      </c>
      <c r="D26" s="7" t="n">
        <v>0</v>
      </c>
      <c r="E26" s="7" t="n">
        <v>0</v>
      </c>
      <c r="F26" s="15" t="n">
        <v>2122711.773999996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38118614.38</v>
      </c>
      <c r="C28" s="3" t="n">
        <v>34480379.59</v>
      </c>
      <c r="D28" s="3" t="n">
        <v>0</v>
      </c>
      <c r="E28" s="3" t="n">
        <v>0</v>
      </c>
      <c r="F28" s="15" t="n">
        <v>72598993.97</v>
      </c>
    </row>
    <row r="29">
      <c r="A29" s="2" t="inlineStr">
        <is>
          <t>Mediana mensal do liquidado (abr–ago)</t>
        </is>
      </c>
      <c r="B29" s="3" t="n">
        <v>905545.1899999999</v>
      </c>
      <c r="C29" s="3" t="n">
        <v>2757318.45</v>
      </c>
      <c r="D29" s="3" t="n">
        <v>0</v>
      </c>
      <c r="E29" s="3" t="n">
        <v>0</v>
      </c>
      <c r="F29" s="15" t="n">
        <v>3662863.64</v>
      </c>
    </row>
    <row r="30">
      <c r="A30" s="2" t="inlineStr">
        <is>
          <t>Projeção do liquidado até dez (acum + mediana × meses restantes)</t>
        </is>
      </c>
      <c r="B30" s="3" t="n">
        <v>41740795.14</v>
      </c>
      <c r="C30" s="3" t="n">
        <v>45509653.39</v>
      </c>
      <c r="D30" s="3" t="n">
        <v>0</v>
      </c>
      <c r="E30" s="3" t="n">
        <v>0</v>
      </c>
      <c r="F30" s="15" t="n">
        <v>87250448.53</v>
      </c>
    </row>
    <row r="31">
      <c r="A31" s="16" t="inlineStr">
        <is>
          <t>Déficit/superávit vs dotação autorizada (LEI+ALT)</t>
        </is>
      </c>
      <c r="B31" s="7" t="n">
        <v>10352218.86</v>
      </c>
      <c r="C31" s="7" t="n">
        <v>16021530.61</v>
      </c>
      <c r="D31" s="7" t="n">
        <v>0</v>
      </c>
      <c r="E31" s="7" t="n">
        <v>0</v>
      </c>
      <c r="F31" s="15" t="n">
        <v>26373749.47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(R$ 113,6 mi) é inferior ao empenhado de 2025 (R$ 125,6 mi), déficit potencial de R$ 12,0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(R$ 111,5 mi) fica abaixo da dotação — folga de R$ 2,1 mi.</t>
        </is>
      </c>
    </row>
    <row r="37" ht="33" customHeight="1">
      <c r="A37" s="18" t="inlineStr">
        <is>
          <t>4.  Comparação 3 (mediana): pela mediana dos 5 meses fechados (abr–ago), a projeção do liquidado até dez (R$ 87,3 mi) fica abaixo da dotação — folga de R$ 26,4 mi.</t>
        </is>
      </c>
    </row>
    <row r="38" ht="18" customHeight="1">
      <c r="A38" s="18" t="inlineStr">
        <is>
          <t>5.  Recursos retidos: R$ 36,8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125579677.58</v>
      </c>
    </row>
    <row r="42">
      <c r="A42" s="20" t="inlineStr">
        <is>
          <t>Dotação Autorizada 2026</t>
        </is>
      </c>
      <c r="B42" s="21" t="n">
        <v>113624198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0</v>
      </c>
      <c r="C45" s="21" t="n">
        <v>113624198</v>
      </c>
    </row>
    <row r="46">
      <c r="A46" s="20" t="inlineStr">
        <is>
          <t>Fev</t>
        </is>
      </c>
      <c r="B46" s="21" t="n">
        <v>12036839.25</v>
      </c>
      <c r="C46" s="21" t="n">
        <v>113624198</v>
      </c>
    </row>
    <row r="47">
      <c r="A47" s="20" t="inlineStr">
        <is>
          <t>Mar</t>
        </is>
      </c>
      <c r="B47" s="21" t="n">
        <v>23970878.65</v>
      </c>
      <c r="C47" s="21" t="n">
        <v>113624198</v>
      </c>
    </row>
    <row r="48">
      <c r="A48" s="20" t="inlineStr">
        <is>
          <t>Abr</t>
        </is>
      </c>
      <c r="B48" s="21" t="n">
        <v>28061262.48</v>
      </c>
      <c r="C48" s="21" t="n">
        <v>113624198</v>
      </c>
    </row>
    <row r="49">
      <c r="A49" s="20" t="inlineStr">
        <is>
          <t>Mai</t>
        </is>
      </c>
      <c r="B49" s="21" t="n">
        <v>47460265.86</v>
      </c>
      <c r="C49" s="21" t="n">
        <v>113624198</v>
      </c>
    </row>
    <row r="50">
      <c r="A50" s="20" t="inlineStr">
        <is>
          <t>Jun</t>
        </is>
      </c>
      <c r="B50" s="21" t="n">
        <v>56718801.99</v>
      </c>
      <c r="C50" s="21" t="n">
        <v>113624198</v>
      </c>
    </row>
    <row r="51">
      <c r="A51" s="20" t="inlineStr">
        <is>
          <t>Jul</t>
        </is>
      </c>
      <c r="B51" s="21" t="n">
        <v>69777513.24000001</v>
      </c>
      <c r="C51" s="21" t="n">
        <v>113624198</v>
      </c>
    </row>
    <row r="52">
      <c r="A52" s="20" t="inlineStr">
        <is>
          <t>Ago</t>
        </is>
      </c>
      <c r="B52" s="21" t="n">
        <v>72598993.97000001</v>
      </c>
      <c r="C52" s="21" t="n">
        <v>113624198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125579677.58</v>
      </c>
    </row>
    <row r="55">
      <c r="A55" s="20" t="inlineStr">
        <is>
          <t>Dotação Autorizada 2026 (tesouro)</t>
        </is>
      </c>
      <c r="B55" s="21" t="n">
        <v>113624198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0</v>
      </c>
      <c r="C58" s="21" t="n">
        <v>113624198</v>
      </c>
    </row>
    <row r="59">
      <c r="A59" s="20" t="inlineStr">
        <is>
          <t>Fev</t>
        </is>
      </c>
      <c r="B59" s="21" t="n">
        <v>12036839.25</v>
      </c>
      <c r="C59" s="21" t="n">
        <v>113624198</v>
      </c>
    </row>
    <row r="60">
      <c r="A60" s="20" t="inlineStr">
        <is>
          <t>Mar</t>
        </is>
      </c>
      <c r="B60" s="21" t="n">
        <v>23970878.65</v>
      </c>
      <c r="C60" s="21" t="n">
        <v>113624198</v>
      </c>
    </row>
    <row r="61">
      <c r="A61" s="20" t="inlineStr">
        <is>
          <t>Abr</t>
        </is>
      </c>
      <c r="B61" s="21" t="n">
        <v>28061262.48</v>
      </c>
      <c r="C61" s="21" t="n">
        <v>113624198</v>
      </c>
    </row>
    <row r="62">
      <c r="A62" s="20" t="inlineStr">
        <is>
          <t>Mai</t>
        </is>
      </c>
      <c r="B62" s="21" t="n">
        <v>47460265.86</v>
      </c>
      <c r="C62" s="21" t="n">
        <v>113624198</v>
      </c>
    </row>
    <row r="63">
      <c r="A63" s="20" t="inlineStr">
        <is>
          <t>Jun</t>
        </is>
      </c>
      <c r="B63" s="21" t="n">
        <v>56718801.99</v>
      </c>
      <c r="C63" s="21" t="n">
        <v>113624198</v>
      </c>
    </row>
    <row r="64">
      <c r="A64" s="20" t="inlineStr">
        <is>
          <t>Jul</t>
        </is>
      </c>
      <c r="B64" s="21" t="n">
        <v>69777513.24000001</v>
      </c>
      <c r="C64" s="21" t="n">
        <v>113624198</v>
      </c>
    </row>
    <row r="65">
      <c r="A65" s="20" t="inlineStr">
        <is>
          <t>Ago</t>
        </is>
      </c>
      <c r="B65" s="21" t="n">
        <v>72598993.97000001</v>
      </c>
      <c r="C65" s="21" t="n">
        <v>113624198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04.122.8203.2990.0006 — SEEC — Manutenção de Bens Imóveis do GDF (Vigilância)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105</t>
        </is>
      </c>
      <c r="F4" s="12" t="inlineStr">
        <is>
          <t>FONTE 109</t>
        </is>
      </c>
      <c r="G4" s="12" t="inlineStr">
        <is>
          <t>FONTE 161</t>
        </is>
      </c>
      <c r="H4" s="12" t="inlineStr">
        <is>
          <t>FONTE 178</t>
        </is>
      </c>
      <c r="I4" s="12" t="inlineStr">
        <is>
          <t>FONTE 183</t>
        </is>
      </c>
      <c r="J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>
      <c r="A6" s="2" t="inlineStr">
        <is>
          <t>Dotação inicial (LEI) 2025</t>
        </is>
      </c>
      <c r="B6" s="3" t="n">
        <v>30265957</v>
      </c>
      <c r="C6" s="3" t="n">
        <v>31861416</v>
      </c>
      <c r="D6" s="3" t="n">
        <v>47601654</v>
      </c>
      <c r="E6" s="3" t="n">
        <v>465653</v>
      </c>
      <c r="F6" s="3" t="n">
        <v>3526648</v>
      </c>
      <c r="G6" s="3" t="n">
        <v>0</v>
      </c>
      <c r="H6" s="3" t="n">
        <v>5872772</v>
      </c>
      <c r="I6" s="3" t="n">
        <v>0</v>
      </c>
      <c r="J6" s="15" t="n">
        <v>119594100</v>
      </c>
    </row>
    <row r="7">
      <c r="A7" s="2" t="inlineStr">
        <is>
          <t>Alterações 2025</t>
        </is>
      </c>
      <c r="B7" s="3" t="n">
        <v>214206193</v>
      </c>
      <c r="C7" s="3" t="n">
        <v>31998356</v>
      </c>
      <c r="D7" s="3" t="n">
        <v>23721000</v>
      </c>
      <c r="E7" s="3" t="n">
        <v>0</v>
      </c>
      <c r="F7" s="3" t="n">
        <v>0</v>
      </c>
      <c r="G7" s="3" t="n">
        <v>80790300</v>
      </c>
      <c r="H7" s="3" t="n">
        <v>0</v>
      </c>
      <c r="I7" s="3" t="n">
        <v>0</v>
      </c>
      <c r="J7" s="15" t="n">
        <v>350715849</v>
      </c>
    </row>
    <row r="8">
      <c r="A8" s="2" t="inlineStr">
        <is>
          <t>Despesa autorizada 2025 (DESP AUT.)</t>
        </is>
      </c>
      <c r="B8" s="3" t="n">
        <v>244472149.58</v>
      </c>
      <c r="C8" s="3" t="n">
        <v>63859772</v>
      </c>
      <c r="D8" s="3" t="n">
        <v>71322654</v>
      </c>
      <c r="E8" s="3" t="n">
        <v>465653</v>
      </c>
      <c r="F8" s="3" t="n">
        <v>3526648</v>
      </c>
      <c r="G8" s="3" t="n">
        <v>80790300</v>
      </c>
      <c r="H8" s="3" t="n">
        <v>5872772</v>
      </c>
      <c r="I8" s="3" t="n">
        <v>0</v>
      </c>
      <c r="J8" s="15" t="n">
        <v>470309948.58</v>
      </c>
    </row>
    <row r="9">
      <c r="A9" s="16" t="inlineStr">
        <is>
          <t>Empenhado 2025</t>
        </is>
      </c>
      <c r="B9" s="7" t="n">
        <v>244472149.58</v>
      </c>
      <c r="C9" s="7" t="n">
        <v>63859772</v>
      </c>
      <c r="D9" s="7" t="n">
        <v>71322654</v>
      </c>
      <c r="E9" s="7" t="n">
        <v>465653</v>
      </c>
      <c r="F9" s="7" t="n">
        <v>3526648</v>
      </c>
      <c r="G9" s="7" t="n">
        <v>80790300</v>
      </c>
      <c r="H9" s="7" t="n">
        <v>5872772</v>
      </c>
      <c r="I9" s="7" t="n">
        <v>0</v>
      </c>
      <c r="J9" s="15" t="n">
        <v>470309948.58</v>
      </c>
    </row>
    <row r="10">
      <c r="A10" s="2" t="inlineStr">
        <is>
          <t>Liquidado 2025</t>
        </is>
      </c>
      <c r="B10" s="3" t="n">
        <v>240569147.28</v>
      </c>
      <c r="C10" s="3" t="n">
        <v>63859772</v>
      </c>
      <c r="D10" s="3" t="n">
        <v>71322351.09999999</v>
      </c>
      <c r="E10" s="3" t="n">
        <v>465653</v>
      </c>
      <c r="F10" s="3" t="n">
        <v>3526648</v>
      </c>
      <c r="G10" s="3" t="n">
        <v>80219118.25</v>
      </c>
      <c r="H10" s="3" t="n">
        <v>5872772</v>
      </c>
      <c r="I10" s="3" t="n">
        <v>0</v>
      </c>
      <c r="J10" s="15" t="n">
        <v>465835461.63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2" t="inlineStr">
        <is>
          <t>Dotação inicial (LEI) 2026</t>
        </is>
      </c>
      <c r="B12" s="3" t="n">
        <v>114601014</v>
      </c>
      <c r="C12" s="3" t="n">
        <v>18468816</v>
      </c>
      <c r="D12" s="3" t="n">
        <v>0</v>
      </c>
      <c r="E12" s="3" t="n">
        <v>0</v>
      </c>
      <c r="F12" s="3" t="n">
        <v>0</v>
      </c>
      <c r="G12" s="3" t="n">
        <v>22043700</v>
      </c>
      <c r="H12" s="3" t="n">
        <v>0</v>
      </c>
      <c r="I12" s="3" t="n">
        <v>66339189</v>
      </c>
      <c r="J12" s="15" t="n">
        <v>221452719</v>
      </c>
    </row>
    <row r="13">
      <c r="A13" s="2" t="inlineStr">
        <is>
          <t>Alterações 2026</t>
        </is>
      </c>
      <c r="B13" s="3" t="n">
        <v>221396007</v>
      </c>
      <c r="C13" s="3" t="n">
        <v>38602586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15" t="n">
        <v>259998593</v>
      </c>
    </row>
    <row r="14">
      <c r="A14" s="16" t="inlineStr">
        <is>
          <t>Dotação autorizada 2026 (LEI + ALTERAÇÃO)</t>
        </is>
      </c>
      <c r="B14" s="7" t="n">
        <v>335997021</v>
      </c>
      <c r="C14" s="7" t="n">
        <v>57071402</v>
      </c>
      <c r="D14" s="7" t="n">
        <v>0</v>
      </c>
      <c r="E14" s="7" t="n">
        <v>0</v>
      </c>
      <c r="F14" s="7" t="n">
        <v>0</v>
      </c>
      <c r="G14" s="7" t="n">
        <v>22043700</v>
      </c>
      <c r="H14" s="7" t="n">
        <v>0</v>
      </c>
      <c r="I14" s="7" t="n">
        <v>66339189</v>
      </c>
      <c r="J14" s="15" t="n">
        <v>481451312</v>
      </c>
    </row>
    <row r="15">
      <c r="A15" s="2" t="inlineStr">
        <is>
          <t>Cota a liberar 2026</t>
        </is>
      </c>
      <c r="B15" s="3" t="n">
        <v>8548633.51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69380.16</v>
      </c>
      <c r="J15" s="15" t="n">
        <v>8618013.67</v>
      </c>
    </row>
    <row r="16">
      <c r="A16" s="2" t="inlineStr">
        <is>
          <t>Contingenciado 2026</t>
        </is>
      </c>
      <c r="B16" s="3" t="n">
        <v>999.98</v>
      </c>
      <c r="C16" s="3" t="n">
        <v>0.01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15" t="n">
        <v>999.99</v>
      </c>
    </row>
    <row r="17">
      <c r="A17" s="16" t="inlineStr">
        <is>
          <t>Despesa autorizada 2026 (DESP AUT.)</t>
        </is>
      </c>
      <c r="B17" s="7" t="n">
        <v>327447387.51</v>
      </c>
      <c r="C17" s="7" t="n">
        <v>57071401.99</v>
      </c>
      <c r="D17" s="7" t="n">
        <v>0</v>
      </c>
      <c r="E17" s="7" t="n">
        <v>0</v>
      </c>
      <c r="F17" s="7" t="n">
        <v>0</v>
      </c>
      <c r="G17" s="7" t="n">
        <v>22043700</v>
      </c>
      <c r="H17" s="7" t="n">
        <v>0</v>
      </c>
      <c r="I17" s="7" t="n">
        <v>66269808.84</v>
      </c>
      <c r="J17" s="15" t="n">
        <v>472832298.34</v>
      </c>
    </row>
    <row r="18">
      <c r="A18" s="16" t="inlineStr">
        <is>
          <t>Empenhado 2026 (jan–ago fechado)</t>
        </is>
      </c>
      <c r="B18" s="7" t="n">
        <v>327447387.08</v>
      </c>
      <c r="C18" s="7" t="n">
        <v>57071401.57</v>
      </c>
      <c r="D18" s="7" t="n">
        <v>0</v>
      </c>
      <c r="E18" s="7" t="n">
        <v>0</v>
      </c>
      <c r="F18" s="7" t="n">
        <v>0</v>
      </c>
      <c r="G18" s="7" t="n">
        <v>22043700</v>
      </c>
      <c r="H18" s="7" t="n">
        <v>0</v>
      </c>
      <c r="I18" s="7" t="n">
        <v>66269808.84</v>
      </c>
      <c r="J18" s="15" t="n">
        <v>472832297.49</v>
      </c>
    </row>
    <row r="19">
      <c r="A19" s="2" t="inlineStr">
        <is>
          <t>Disponível 2026 (saldo)</t>
        </is>
      </c>
      <c r="B19" s="3" t="n">
        <v>0.43</v>
      </c>
      <c r="C19" s="3" t="n">
        <v>0.42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15" t="n">
        <v>0.85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6" t="inlineStr">
        <is>
          <t>Déficit/superávit vs dotação autorizada (LEI+ALT)</t>
        </is>
      </c>
      <c r="B21" s="7" t="n">
        <v>91524871.41999999</v>
      </c>
      <c r="C21" s="7" t="n">
        <v>-6788370</v>
      </c>
      <c r="D21" s="7" t="n">
        <v>-71322654</v>
      </c>
      <c r="E21" s="7" t="n">
        <v>-465653</v>
      </c>
      <c r="F21" s="7" t="n">
        <v>-3526648</v>
      </c>
      <c r="G21" s="7" t="n">
        <v>-58746600</v>
      </c>
      <c r="H21" s="7" t="n">
        <v>-5872772</v>
      </c>
      <c r="I21" s="7" t="n">
        <v>66339189</v>
      </c>
      <c r="J21" s="15" t="n">
        <v>11141363.41999999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>
      <c r="A23" s="2" t="inlineStr">
        <is>
          <t>Liquidado acumulado 2026 (jan–ago)</t>
        </is>
      </c>
      <c r="B23" s="3" t="n">
        <v>307757438.84</v>
      </c>
      <c r="C23" s="3" t="n">
        <v>43854770.32</v>
      </c>
      <c r="D23" s="3" t="n">
        <v>0</v>
      </c>
      <c r="E23" s="3" t="n">
        <v>0</v>
      </c>
      <c r="F23" s="3" t="n">
        <v>0</v>
      </c>
      <c r="G23" s="3" t="n">
        <v>22043700</v>
      </c>
      <c r="H23" s="3" t="n">
        <v>0</v>
      </c>
      <c r="I23" s="3" t="n">
        <v>66269808.84</v>
      </c>
      <c r="J23" s="15" t="n">
        <v>439925718.0000001</v>
      </c>
    </row>
    <row r="24">
      <c r="A24" s="2" t="inlineStr">
        <is>
          <t>Média mensal do liquidado (abr–ago)</t>
        </is>
      </c>
      <c r="B24" s="3" t="n">
        <v>40341211.666</v>
      </c>
      <c r="C24" s="3" t="n">
        <v>6582397.826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1602036.352</v>
      </c>
      <c r="J24" s="15" t="n">
        <v>48525645.844</v>
      </c>
    </row>
    <row r="25">
      <c r="A25" s="2" t="inlineStr">
        <is>
          <t>Projeção do liquidado até dez (acum + média × meses restantes)</t>
        </is>
      </c>
      <c r="B25" s="3" t="n">
        <v>469122285.5040001</v>
      </c>
      <c r="C25" s="3" t="n">
        <v>70184361.624</v>
      </c>
      <c r="D25" s="3" t="n">
        <v>0</v>
      </c>
      <c r="E25" s="3" t="n">
        <v>0</v>
      </c>
      <c r="F25" s="3" t="n">
        <v>0</v>
      </c>
      <c r="G25" s="3" t="n">
        <v>22043700</v>
      </c>
      <c r="H25" s="3" t="n">
        <v>0</v>
      </c>
      <c r="I25" s="3" t="n">
        <v>72677954.248</v>
      </c>
      <c r="J25" s="15" t="n">
        <v>634028301.376</v>
      </c>
    </row>
    <row r="26">
      <c r="A26" s="16" t="inlineStr">
        <is>
          <t>Déficit/superávit vs dotação autorizada (LEI+ALT)</t>
        </is>
      </c>
      <c r="B26" s="7" t="n">
        <v>-133125264.5040001</v>
      </c>
      <c r="C26" s="7" t="n">
        <v>-13112959.624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-6338765.247999996</v>
      </c>
      <c r="J26" s="15" t="n">
        <v>-152576989.376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2" t="inlineStr">
        <is>
          <t>Liquidado acumulado 2026 (jan–ago)</t>
        </is>
      </c>
      <c r="B28" s="3" t="n">
        <v>307757438.84</v>
      </c>
      <c r="C28" s="3" t="n">
        <v>43854770.32</v>
      </c>
      <c r="D28" s="3" t="n">
        <v>0</v>
      </c>
      <c r="E28" s="3" t="n">
        <v>0</v>
      </c>
      <c r="F28" s="3" t="n">
        <v>0</v>
      </c>
      <c r="G28" s="3" t="n">
        <v>22043700</v>
      </c>
      <c r="H28" s="3" t="n">
        <v>0</v>
      </c>
      <c r="I28" s="3" t="n">
        <v>66269808.84</v>
      </c>
      <c r="J28" s="15" t="n">
        <v>439925718.0000001</v>
      </c>
    </row>
    <row r="29">
      <c r="A29" s="2" t="inlineStr">
        <is>
          <t>Mediana mensal do liquidado (abr–ago)</t>
        </is>
      </c>
      <c r="B29" s="3" t="n">
        <v>43736479.99</v>
      </c>
      <c r="C29" s="3" t="n">
        <v>1291829.02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715901.6899999999</v>
      </c>
      <c r="J29" s="15" t="n">
        <v>45744210.7</v>
      </c>
    </row>
    <row r="30">
      <c r="A30" s="2" t="inlineStr">
        <is>
          <t>Projeção do liquidado até dez (acum + mediana × meses restantes)</t>
        </is>
      </c>
      <c r="B30" s="3" t="n">
        <v>482703358.8000001</v>
      </c>
      <c r="C30" s="3" t="n">
        <v>49022086.4</v>
      </c>
      <c r="D30" s="3" t="n">
        <v>0</v>
      </c>
      <c r="E30" s="3" t="n">
        <v>0</v>
      </c>
      <c r="F30" s="3" t="n">
        <v>0</v>
      </c>
      <c r="G30" s="3" t="n">
        <v>22043700</v>
      </c>
      <c r="H30" s="3" t="n">
        <v>0</v>
      </c>
      <c r="I30" s="3" t="n">
        <v>69133415.60000001</v>
      </c>
      <c r="J30" s="15" t="n">
        <v>622902560.8000001</v>
      </c>
    </row>
    <row r="31">
      <c r="A31" s="16" t="inlineStr">
        <is>
          <t>Déficit/superávit vs dotação autorizada (LEI+ALT)</t>
        </is>
      </c>
      <c r="B31" s="7" t="n">
        <v>-146706337.8000001</v>
      </c>
      <c r="C31" s="7" t="n">
        <v>8049315.600000001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-2794226.600000009</v>
      </c>
      <c r="J31" s="15" t="n">
        <v>-141451248.8000001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(R$ 481,5 mi) supera o empenhado de 2025 (R$ 470,3 mi), folga de R$ 11,1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(R$ 634,0 mi) supera a dotação — déficit de R$ 152,6 mi.</t>
        </is>
      </c>
    </row>
    <row r="37" ht="33" customHeight="1">
      <c r="A37" s="18" t="inlineStr">
        <is>
          <t>4.  Comparação 3 (mediana): pela mediana dos 5 meses fechados (abr–ago), a projeção do liquidado até dez (R$ 622,9 mi) supera a dotação — déficit de R$ 141,5 mi.</t>
        </is>
      </c>
    </row>
    <row r="38" ht="18" customHeight="1">
      <c r="A38" s="18" t="inlineStr">
        <is>
          <t>5.  Recursos retidos: R$ 8,6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470309948.58</v>
      </c>
    </row>
    <row r="42">
      <c r="A42" s="20" t="inlineStr">
        <is>
          <t>Dotação Autorizada 2026</t>
        </is>
      </c>
      <c r="B42" s="21" t="n">
        <v>481451312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74124624.54000001</v>
      </c>
      <c r="C45" s="21" t="n">
        <v>481451312</v>
      </c>
    </row>
    <row r="46">
      <c r="A46" s="20" t="inlineStr">
        <is>
          <t>Fev</t>
        </is>
      </c>
      <c r="B46" s="21" t="n">
        <v>120153044.72</v>
      </c>
      <c r="C46" s="21" t="n">
        <v>481451312</v>
      </c>
    </row>
    <row r="47">
      <c r="A47" s="20" t="inlineStr">
        <is>
          <t>Mar</t>
        </is>
      </c>
      <c r="B47" s="21" t="n">
        <v>197297488.78</v>
      </c>
      <c r="C47" s="21" t="n">
        <v>481451312</v>
      </c>
    </row>
    <row r="48">
      <c r="A48" s="20" t="inlineStr">
        <is>
          <t>Abr</t>
        </is>
      </c>
      <c r="B48" s="21" t="n">
        <v>245692582.51</v>
      </c>
      <c r="C48" s="21" t="n">
        <v>481451312</v>
      </c>
    </row>
    <row r="49">
      <c r="A49" s="20" t="inlineStr">
        <is>
          <t>Mai</t>
        </is>
      </c>
      <c r="B49" s="21" t="n">
        <v>294192831.19</v>
      </c>
      <c r="C49" s="21" t="n">
        <v>481451312</v>
      </c>
    </row>
    <row r="50">
      <c r="A50" s="20" t="inlineStr">
        <is>
          <t>Jun</t>
        </is>
      </c>
      <c r="B50" s="21" t="n">
        <v>342771313.27</v>
      </c>
      <c r="C50" s="21" t="n">
        <v>481451312</v>
      </c>
    </row>
    <row r="51">
      <c r="A51" s="20" t="inlineStr">
        <is>
          <t>Jul</t>
        </is>
      </c>
      <c r="B51" s="21" t="n">
        <v>391346665.59</v>
      </c>
      <c r="C51" s="21" t="n">
        <v>481451312</v>
      </c>
    </row>
    <row r="52">
      <c r="A52" s="20" t="inlineStr">
        <is>
          <t>Ago</t>
        </is>
      </c>
      <c r="B52" s="21" t="n">
        <v>439925718</v>
      </c>
      <c r="C52" s="21" t="n">
        <v>481451312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466317647.58</v>
      </c>
    </row>
    <row r="55">
      <c r="A55" s="20" t="inlineStr">
        <is>
          <t>Dotação Autorizada 2026 (tesouro)</t>
        </is>
      </c>
      <c r="B55" s="21" t="n">
        <v>481451312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74124624.54000001</v>
      </c>
      <c r="C58" s="21" t="n">
        <v>481451312</v>
      </c>
    </row>
    <row r="59">
      <c r="A59" s="20" t="inlineStr">
        <is>
          <t>Fev</t>
        </is>
      </c>
      <c r="B59" s="21" t="n">
        <v>120153044.72</v>
      </c>
      <c r="C59" s="21" t="n">
        <v>481451312</v>
      </c>
    </row>
    <row r="60">
      <c r="A60" s="20" t="inlineStr">
        <is>
          <t>Mar</t>
        </is>
      </c>
      <c r="B60" s="21" t="n">
        <v>197297488.78</v>
      </c>
      <c r="C60" s="21" t="n">
        <v>481451312</v>
      </c>
    </row>
    <row r="61">
      <c r="A61" s="20" t="inlineStr">
        <is>
          <t>Abr</t>
        </is>
      </c>
      <c r="B61" s="21" t="n">
        <v>245692582.51</v>
      </c>
      <c r="C61" s="21" t="n">
        <v>481451312</v>
      </c>
    </row>
    <row r="62">
      <c r="A62" s="20" t="inlineStr">
        <is>
          <t>Mai</t>
        </is>
      </c>
      <c r="B62" s="21" t="n">
        <v>294192831.19</v>
      </c>
      <c r="C62" s="21" t="n">
        <v>481451312</v>
      </c>
    </row>
    <row r="63">
      <c r="A63" s="20" t="inlineStr">
        <is>
          <t>Jun</t>
        </is>
      </c>
      <c r="B63" s="21" t="n">
        <v>342771313.27</v>
      </c>
      <c r="C63" s="21" t="n">
        <v>481451312</v>
      </c>
    </row>
    <row r="64">
      <c r="A64" s="20" t="inlineStr">
        <is>
          <t>Jul</t>
        </is>
      </c>
      <c r="B64" s="21" t="n">
        <v>391346665.59</v>
      </c>
      <c r="C64" s="21" t="n">
        <v>481451312</v>
      </c>
    </row>
    <row r="65">
      <c r="A65" s="20" t="inlineStr">
        <is>
          <t>Ago</t>
        </is>
      </c>
      <c r="B65" s="21" t="n">
        <v>439925718</v>
      </c>
      <c r="C65" s="21" t="n">
        <v>481451312</v>
      </c>
    </row>
  </sheetData>
  <mergeCells count="6">
    <mergeCell ref="A37:J37"/>
    <mergeCell ref="A36:J36"/>
    <mergeCell ref="A34:J34"/>
    <mergeCell ref="A35:J35"/>
    <mergeCell ref="A38:J38"/>
    <mergeCell ref="A33:J33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12.122.6221.4091.0096 — SEEDF — Educador Social Voluntário (ESV)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103</t>
        </is>
      </c>
      <c r="D4" s="12" t="inlineStr">
        <is>
          <t>FONTE 303</t>
        </is>
      </c>
      <c r="E4" s="12" t="inlineStr">
        <is>
          <t>FONTE 377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31231192</v>
      </c>
      <c r="C6" s="3" t="n">
        <v>0</v>
      </c>
      <c r="D6" s="3" t="n">
        <v>0</v>
      </c>
      <c r="E6" s="3" t="n">
        <v>0</v>
      </c>
      <c r="F6" s="15" t="n">
        <v>31231192</v>
      </c>
    </row>
    <row r="7">
      <c r="A7" s="2" t="inlineStr">
        <is>
          <t>Alterações 2025</t>
        </is>
      </c>
      <c r="B7" s="3" t="n">
        <v>947476</v>
      </c>
      <c r="C7" s="3" t="n">
        <v>12833830</v>
      </c>
      <c r="D7" s="3" t="n">
        <v>16323142</v>
      </c>
      <c r="E7" s="3" t="n">
        <v>0</v>
      </c>
      <c r="F7" s="15" t="n">
        <v>30104448</v>
      </c>
    </row>
    <row r="8">
      <c r="A8" s="2" t="inlineStr">
        <is>
          <t>Despesa autorizada 2025 (DESP AUT.)</t>
        </is>
      </c>
      <c r="B8" s="3" t="n">
        <v>32178668</v>
      </c>
      <c r="C8" s="3" t="n">
        <v>12833830</v>
      </c>
      <c r="D8" s="3" t="n">
        <v>16323142</v>
      </c>
      <c r="E8" s="3" t="n">
        <v>0</v>
      </c>
      <c r="F8" s="15" t="n">
        <v>61335640</v>
      </c>
    </row>
    <row r="9">
      <c r="A9" s="16" t="inlineStr">
        <is>
          <t>Empenhado 2025</t>
        </is>
      </c>
      <c r="B9" s="7" t="n">
        <v>32178668</v>
      </c>
      <c r="C9" s="7" t="n">
        <v>12831950</v>
      </c>
      <c r="D9" s="7" t="n">
        <v>16323142</v>
      </c>
      <c r="E9" s="7" t="n">
        <v>0</v>
      </c>
      <c r="F9" s="15" t="n">
        <v>61333760</v>
      </c>
    </row>
    <row r="10">
      <c r="A10" s="2" t="inlineStr">
        <is>
          <t>Liquidado 2025</t>
        </is>
      </c>
      <c r="B10" s="3" t="n">
        <v>31779068</v>
      </c>
      <c r="C10" s="3" t="n">
        <v>12831950</v>
      </c>
      <c r="D10" s="3" t="n">
        <v>16323142</v>
      </c>
      <c r="E10" s="3" t="n">
        <v>0</v>
      </c>
      <c r="F10" s="15" t="n">
        <v>60934160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55943999</v>
      </c>
      <c r="C12" s="3" t="n">
        <v>0</v>
      </c>
      <c r="D12" s="3" t="n">
        <v>0</v>
      </c>
      <c r="E12" s="3" t="n">
        <v>0</v>
      </c>
      <c r="F12" s="15" t="n">
        <v>55943999</v>
      </c>
    </row>
    <row r="13">
      <c r="A13" s="2" t="inlineStr">
        <is>
          <t>Alterações 2026</t>
        </is>
      </c>
      <c r="B13" s="3" t="n">
        <v>12179073</v>
      </c>
      <c r="C13" s="3" t="n">
        <v>0</v>
      </c>
      <c r="D13" s="3" t="n">
        <v>0</v>
      </c>
      <c r="E13" s="3" t="n">
        <v>158070</v>
      </c>
      <c r="F13" s="15" t="n">
        <v>12337143</v>
      </c>
    </row>
    <row r="14">
      <c r="A14" s="16" t="inlineStr">
        <is>
          <t>Dotação autorizada 2026 (LEI + ALTERAÇÃO)</t>
        </is>
      </c>
      <c r="B14" s="7" t="n">
        <v>68123072</v>
      </c>
      <c r="C14" s="7" t="n">
        <v>0</v>
      </c>
      <c r="D14" s="7" t="n">
        <v>0</v>
      </c>
      <c r="E14" s="7" t="n">
        <v>158070</v>
      </c>
      <c r="F14" s="15" t="n">
        <v>68281142</v>
      </c>
    </row>
    <row r="15">
      <c r="A15" s="2" t="inlineStr">
        <is>
          <t>Cota a liberar 2026</t>
        </is>
      </c>
      <c r="B15" s="3" t="n">
        <v>0.16</v>
      </c>
      <c r="C15" s="3" t="n">
        <v>0</v>
      </c>
      <c r="D15" s="3" t="n">
        <v>0</v>
      </c>
      <c r="E15" s="3" t="n">
        <v>0</v>
      </c>
      <c r="F15" s="15" t="n">
        <v>0.16</v>
      </c>
    </row>
    <row r="16">
      <c r="A16" s="2" t="inlineStr">
        <is>
          <t>Contingenciado 2026</t>
        </is>
      </c>
      <c r="B16" s="3" t="n">
        <v>100000</v>
      </c>
      <c r="C16" s="3" t="n">
        <v>0</v>
      </c>
      <c r="D16" s="3" t="n">
        <v>0</v>
      </c>
      <c r="E16" s="3" t="n">
        <v>0</v>
      </c>
      <c r="F16" s="15" t="n">
        <v>100000</v>
      </c>
    </row>
    <row r="17">
      <c r="A17" s="16" t="inlineStr">
        <is>
          <t>Despesa autorizada 2026 (DESP AUT.)</t>
        </is>
      </c>
      <c r="B17" s="7" t="n">
        <v>68023071.84</v>
      </c>
      <c r="C17" s="7" t="n">
        <v>0</v>
      </c>
      <c r="D17" s="7" t="n">
        <v>0</v>
      </c>
      <c r="E17" s="7" t="n">
        <v>158070</v>
      </c>
      <c r="F17" s="15" t="n">
        <v>68181141.84</v>
      </c>
    </row>
    <row r="18">
      <c r="A18" s="16" t="inlineStr">
        <is>
          <t>Empenhado 2026 (jan–ago fechado)</t>
        </is>
      </c>
      <c r="B18" s="7" t="n">
        <v>63795095.44</v>
      </c>
      <c r="C18" s="7" t="n">
        <v>0</v>
      </c>
      <c r="D18" s="7" t="n">
        <v>0</v>
      </c>
      <c r="E18" s="7" t="n">
        <v>0</v>
      </c>
      <c r="F18" s="15" t="n">
        <v>63795095.44</v>
      </c>
    </row>
    <row r="19">
      <c r="A19" s="2" t="inlineStr">
        <is>
          <t>Disponível 2026 (saldo)</t>
        </is>
      </c>
      <c r="B19" s="3" t="n">
        <v>4227976.4</v>
      </c>
      <c r="C19" s="3" t="n">
        <v>0</v>
      </c>
      <c r="D19" s="3" t="n">
        <v>0</v>
      </c>
      <c r="E19" s="3" t="n">
        <v>158070</v>
      </c>
      <c r="F19" s="15" t="n">
        <v>4386046.4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35944404</v>
      </c>
      <c r="C21" s="7" t="n">
        <v>-12831950</v>
      </c>
      <c r="D21" s="7" t="n">
        <v>-16323142</v>
      </c>
      <c r="E21" s="7" t="n">
        <v>158070</v>
      </c>
      <c r="F21" s="15" t="n">
        <v>6947382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63620360</v>
      </c>
      <c r="C23" s="3" t="n">
        <v>0</v>
      </c>
      <c r="D23" s="3" t="n">
        <v>0</v>
      </c>
      <c r="E23" s="3" t="n">
        <v>0</v>
      </c>
      <c r="F23" s="15" t="n">
        <v>63620360</v>
      </c>
    </row>
    <row r="24">
      <c r="A24" s="2" t="inlineStr">
        <is>
          <t>Média mensal do liquidado (abr–ago)</t>
        </is>
      </c>
      <c r="B24" s="3" t="n">
        <v>12723560</v>
      </c>
      <c r="C24" s="3" t="n">
        <v>0</v>
      </c>
      <c r="D24" s="3" t="n">
        <v>0</v>
      </c>
      <c r="E24" s="3" t="n">
        <v>0</v>
      </c>
      <c r="F24" s="15" t="n">
        <v>12723560</v>
      </c>
    </row>
    <row r="25">
      <c r="A25" s="2" t="inlineStr">
        <is>
          <t>Projeção do liquidado até dez (acum + média × meses restantes)</t>
        </is>
      </c>
      <c r="B25" s="3" t="n">
        <v>114514600</v>
      </c>
      <c r="C25" s="3" t="n">
        <v>0</v>
      </c>
      <c r="D25" s="3" t="n">
        <v>0</v>
      </c>
      <c r="E25" s="3" t="n">
        <v>0</v>
      </c>
      <c r="F25" s="15" t="n">
        <v>114514600</v>
      </c>
    </row>
    <row r="26">
      <c r="A26" s="16" t="inlineStr">
        <is>
          <t>Déficit/superávit vs dotação autorizada (LEI+ALT)</t>
        </is>
      </c>
      <c r="B26" s="7" t="n">
        <v>-46391528</v>
      </c>
      <c r="C26" s="7" t="n">
        <v>0</v>
      </c>
      <c r="D26" s="7" t="n">
        <v>0</v>
      </c>
      <c r="E26" s="7" t="n">
        <v>158070</v>
      </c>
      <c r="F26" s="15" t="n">
        <v>-46233458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63620360</v>
      </c>
      <c r="C28" s="3" t="n">
        <v>0</v>
      </c>
      <c r="D28" s="3" t="n">
        <v>0</v>
      </c>
      <c r="E28" s="3" t="n">
        <v>0</v>
      </c>
      <c r="F28" s="15" t="n">
        <v>63620360</v>
      </c>
    </row>
    <row r="29">
      <c r="A29" s="2" t="inlineStr">
        <is>
          <t>Mediana mensal do liquidado (abr–ago)</t>
        </is>
      </c>
      <c r="B29" s="3" t="n">
        <v>13001520</v>
      </c>
      <c r="C29" s="3" t="n">
        <v>0</v>
      </c>
      <c r="D29" s="3" t="n">
        <v>0</v>
      </c>
      <c r="E29" s="3" t="n">
        <v>0</v>
      </c>
      <c r="F29" s="15" t="n">
        <v>13001520</v>
      </c>
    </row>
    <row r="30">
      <c r="A30" s="2" t="inlineStr">
        <is>
          <t>Projeção do liquidado até dez (acum + mediana × meses restantes)</t>
        </is>
      </c>
      <c r="B30" s="3" t="n">
        <v>115626440</v>
      </c>
      <c r="C30" s="3" t="n">
        <v>0</v>
      </c>
      <c r="D30" s="3" t="n">
        <v>0</v>
      </c>
      <c r="E30" s="3" t="n">
        <v>0</v>
      </c>
      <c r="F30" s="15" t="n">
        <v>115626440</v>
      </c>
    </row>
    <row r="31">
      <c r="A31" s="16" t="inlineStr">
        <is>
          <t>Déficit/superávit vs dotação autorizada (LEI+ALT)</t>
        </is>
      </c>
      <c r="B31" s="7" t="n">
        <v>-47503368</v>
      </c>
      <c r="C31" s="7" t="n">
        <v>0</v>
      </c>
      <c r="D31" s="7" t="n">
        <v>0</v>
      </c>
      <c r="E31" s="7" t="n">
        <v>158070</v>
      </c>
      <c r="F31" s="15" t="n">
        <v>-47345298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(R$ 68,3 mi) supera o empenhado de 2025 (R$ 61,3 mi), folga de R$ 6,9 mi frente ao exercício anterior.</t>
        </is>
      </c>
    </row>
    <row r="35" ht="18" customHeight="1">
      <c r="A35" s="18" t="inlineStr">
        <is>
          <t>2.  Ritmo de execução: 93,6%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(R$ 114,5 mi) supera a dotação — déficit de R$ 46,2 mi.</t>
        </is>
      </c>
    </row>
    <row r="37" ht="33" customHeight="1">
      <c r="A37" s="18" t="inlineStr">
        <is>
          <t>4.  Comparação 3 (mediana): pela mediana dos 5 meses fechados (abr–ago), a projeção do liquidado até dez (R$ 115,6 mi) supera a dotação — déficit de R$ 47,3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61333760</v>
      </c>
    </row>
    <row r="41">
      <c r="A41" s="20" t="inlineStr">
        <is>
          <t>Dotação Autorizada 2026</t>
        </is>
      </c>
      <c r="B41" s="21" t="n">
        <v>68281142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68281142</v>
      </c>
    </row>
    <row r="45">
      <c r="A45" s="20" t="inlineStr">
        <is>
          <t>Fev</t>
        </is>
      </c>
      <c r="B45" s="21" t="n">
        <v>2560</v>
      </c>
      <c r="C45" s="21" t="n">
        <v>68281142</v>
      </c>
    </row>
    <row r="46">
      <c r="A46" s="20" t="inlineStr">
        <is>
          <t>Mar</t>
        </is>
      </c>
      <c r="B46" s="21" t="n">
        <v>2560</v>
      </c>
      <c r="C46" s="21" t="n">
        <v>68281142</v>
      </c>
    </row>
    <row r="47">
      <c r="A47" s="20" t="inlineStr">
        <is>
          <t>Abr</t>
        </is>
      </c>
      <c r="B47" s="21" t="n">
        <v>15760640</v>
      </c>
      <c r="C47" s="21" t="n">
        <v>68281142</v>
      </c>
    </row>
    <row r="48">
      <c r="A48" s="20" t="inlineStr">
        <is>
          <t>Mai</t>
        </is>
      </c>
      <c r="B48" s="21" t="n">
        <v>27704440</v>
      </c>
      <c r="C48" s="21" t="n">
        <v>68281142</v>
      </c>
    </row>
    <row r="49">
      <c r="A49" s="20" t="inlineStr">
        <is>
          <t>Jun</t>
        </is>
      </c>
      <c r="B49" s="21" t="n">
        <v>41464040</v>
      </c>
      <c r="C49" s="21" t="n">
        <v>68281142</v>
      </c>
    </row>
    <row r="50">
      <c r="A50" s="20" t="inlineStr">
        <is>
          <t>Jul</t>
        </is>
      </c>
      <c r="B50" s="21" t="n">
        <v>54465560</v>
      </c>
      <c r="C50" s="21" t="n">
        <v>68281142</v>
      </c>
    </row>
    <row r="51">
      <c r="A51" s="20" t="inlineStr">
        <is>
          <t>Ago</t>
        </is>
      </c>
      <c r="B51" s="21" t="n">
        <v>63620360</v>
      </c>
      <c r="C51" s="21" t="n">
        <v>68281142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32178668</v>
      </c>
    </row>
    <row r="54">
      <c r="A54" s="20" t="inlineStr">
        <is>
          <t>Dotação Autorizada 2026 (tesouro)</t>
        </is>
      </c>
      <c r="B54" s="21" t="n">
        <v>68123072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68123072</v>
      </c>
    </row>
    <row r="58">
      <c r="A58" s="20" t="inlineStr">
        <is>
          <t>Fev</t>
        </is>
      </c>
      <c r="B58" s="21" t="n">
        <v>2560</v>
      </c>
      <c r="C58" s="21" t="n">
        <v>68123072</v>
      </c>
    </row>
    <row r="59">
      <c r="A59" s="20" t="inlineStr">
        <is>
          <t>Mar</t>
        </is>
      </c>
      <c r="B59" s="21" t="n">
        <v>2560</v>
      </c>
      <c r="C59" s="21" t="n">
        <v>68123072</v>
      </c>
    </row>
    <row r="60">
      <c r="A60" s="20" t="inlineStr">
        <is>
          <t>Abr</t>
        </is>
      </c>
      <c r="B60" s="21" t="n">
        <v>15760640</v>
      </c>
      <c r="C60" s="21" t="n">
        <v>68123072</v>
      </c>
    </row>
    <row r="61">
      <c r="A61" s="20" t="inlineStr">
        <is>
          <t>Mai</t>
        </is>
      </c>
      <c r="B61" s="21" t="n">
        <v>27704440</v>
      </c>
      <c r="C61" s="21" t="n">
        <v>68123072</v>
      </c>
    </row>
    <row r="62">
      <c r="A62" s="20" t="inlineStr">
        <is>
          <t>Jun</t>
        </is>
      </c>
      <c r="B62" s="21" t="n">
        <v>41464040</v>
      </c>
      <c r="C62" s="21" t="n">
        <v>68123072</v>
      </c>
    </row>
    <row r="63">
      <c r="A63" s="20" t="inlineStr">
        <is>
          <t>Jul</t>
        </is>
      </c>
      <c r="B63" s="21" t="n">
        <v>54465560</v>
      </c>
      <c r="C63" s="21" t="n">
        <v>68123072</v>
      </c>
    </row>
    <row r="64">
      <c r="A64" s="20" t="inlineStr">
        <is>
          <t>Ago</t>
        </is>
      </c>
      <c r="B64" s="21" t="n">
        <v>63620360</v>
      </c>
      <c r="C64" s="21" t="n">
        <v>68123072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15.452.6209.2079.6118 — SLU — Manutenção das Atividades de Limpeza Pública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114</t>
        </is>
      </c>
      <c r="F4" s="12" t="inlineStr">
        <is>
          <t>FONTE 161</t>
        </is>
      </c>
      <c r="G4" s="12" t="inlineStr">
        <is>
          <t>FONTE 183</t>
        </is>
      </c>
      <c r="H4" s="12" t="inlineStr">
        <is>
          <t>FONTE 220</t>
        </is>
      </c>
      <c r="I4" s="12" t="inlineStr">
        <is>
          <t>FONTE 321</t>
        </is>
      </c>
      <c r="J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>
      <c r="A6" s="2" t="inlineStr">
        <is>
          <t>Dotação inicial (LEI) 2025</t>
        </is>
      </c>
      <c r="B6" s="3" t="n">
        <v>314704002</v>
      </c>
      <c r="C6" s="3" t="n">
        <v>0</v>
      </c>
      <c r="D6" s="3" t="n">
        <v>0</v>
      </c>
      <c r="E6" s="3" t="n">
        <v>194965107</v>
      </c>
      <c r="F6" s="3" t="n">
        <v>0</v>
      </c>
      <c r="G6" s="3" t="n">
        <v>0</v>
      </c>
      <c r="H6" s="3" t="n">
        <v>3000000</v>
      </c>
      <c r="I6" s="3" t="n">
        <v>0</v>
      </c>
      <c r="J6" s="15" t="n">
        <v>512669109</v>
      </c>
    </row>
    <row r="7">
      <c r="A7" s="2" t="inlineStr">
        <is>
          <t>Alterações 2025</t>
        </is>
      </c>
      <c r="B7" s="3" t="n">
        <v>50607210</v>
      </c>
      <c r="C7" s="3" t="n">
        <v>33014028</v>
      </c>
      <c r="D7" s="3" t="n">
        <v>26293860</v>
      </c>
      <c r="E7" s="3" t="n">
        <v>0</v>
      </c>
      <c r="F7" s="3" t="n">
        <v>42145417</v>
      </c>
      <c r="G7" s="3" t="n">
        <v>840195</v>
      </c>
      <c r="H7" s="3" t="n">
        <v>7715547</v>
      </c>
      <c r="I7" s="3" t="n">
        <v>2000000</v>
      </c>
      <c r="J7" s="15" t="n">
        <v>162616257</v>
      </c>
    </row>
    <row r="8">
      <c r="A8" s="2" t="inlineStr">
        <is>
          <t>Despesa autorizada 2025 (DESP AUT.)</t>
        </is>
      </c>
      <c r="B8" s="3" t="n">
        <v>365311211.17</v>
      </c>
      <c r="C8" s="3" t="n">
        <v>33014028</v>
      </c>
      <c r="D8" s="3" t="n">
        <v>26293860</v>
      </c>
      <c r="E8" s="3" t="n">
        <v>194965107</v>
      </c>
      <c r="F8" s="3" t="n">
        <v>42145417</v>
      </c>
      <c r="G8" s="3" t="n">
        <v>840195</v>
      </c>
      <c r="H8" s="3" t="n">
        <v>10715547</v>
      </c>
      <c r="I8" s="3" t="n">
        <v>0</v>
      </c>
      <c r="J8" s="15" t="n">
        <v>673285365.17</v>
      </c>
    </row>
    <row r="9">
      <c r="A9" s="16" t="inlineStr">
        <is>
          <t>Empenhado 2025</t>
        </is>
      </c>
      <c r="B9" s="7" t="n">
        <v>365016683.36</v>
      </c>
      <c r="C9" s="7" t="n">
        <v>33014027.73</v>
      </c>
      <c r="D9" s="7" t="n">
        <v>26293860</v>
      </c>
      <c r="E9" s="7" t="n">
        <v>193436966.64</v>
      </c>
      <c r="F9" s="7" t="n">
        <v>42145416.84</v>
      </c>
      <c r="G9" s="7" t="n">
        <v>822477.1</v>
      </c>
      <c r="H9" s="7" t="n">
        <v>10710426.52</v>
      </c>
      <c r="I9" s="7" t="n">
        <v>0</v>
      </c>
      <c r="J9" s="15" t="n">
        <v>671439858.1900001</v>
      </c>
    </row>
    <row r="10">
      <c r="A10" s="2" t="inlineStr">
        <is>
          <t>Liquidado 2025</t>
        </is>
      </c>
      <c r="B10" s="3" t="n">
        <v>363988785.96</v>
      </c>
      <c r="C10" s="3" t="n">
        <v>33014027.73</v>
      </c>
      <c r="D10" s="3" t="n">
        <v>25951818.69</v>
      </c>
      <c r="E10" s="3" t="n">
        <v>183860186.09</v>
      </c>
      <c r="F10" s="3" t="n">
        <v>39609616.85</v>
      </c>
      <c r="G10" s="3" t="n">
        <v>822477.1</v>
      </c>
      <c r="H10" s="3" t="n">
        <v>10582468.53</v>
      </c>
      <c r="I10" s="3" t="n">
        <v>0</v>
      </c>
      <c r="J10" s="15" t="n">
        <v>657829380.9499999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2" t="inlineStr">
        <is>
          <t>Dotação inicial (LEI) 2026</t>
        </is>
      </c>
      <c r="B12" s="3" t="n">
        <v>514494894</v>
      </c>
      <c r="C12" s="3" t="n">
        <v>0</v>
      </c>
      <c r="D12" s="3" t="n">
        <v>0</v>
      </c>
      <c r="E12" s="3" t="n">
        <v>202034548</v>
      </c>
      <c r="F12" s="3" t="n">
        <v>0</v>
      </c>
      <c r="G12" s="3" t="n">
        <v>0</v>
      </c>
      <c r="H12" s="3" t="n">
        <v>8915928</v>
      </c>
      <c r="I12" s="3" t="n">
        <v>0</v>
      </c>
      <c r="J12" s="15" t="n">
        <v>725445370</v>
      </c>
    </row>
    <row r="13">
      <c r="A13" s="2" t="inlineStr">
        <is>
          <t>Alterações 2026</t>
        </is>
      </c>
      <c r="B13" s="3" t="n">
        <v>-60233282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-2958000</v>
      </c>
      <c r="I13" s="3" t="n">
        <v>0</v>
      </c>
      <c r="J13" s="15" t="n">
        <v>-63191282</v>
      </c>
    </row>
    <row r="14">
      <c r="A14" s="16" t="inlineStr">
        <is>
          <t>Dotação autorizada 2026 (LEI + ALTERAÇÃO)</t>
        </is>
      </c>
      <c r="B14" s="7" t="n">
        <v>454261612</v>
      </c>
      <c r="C14" s="7" t="n">
        <v>0</v>
      </c>
      <c r="D14" s="7" t="n">
        <v>0</v>
      </c>
      <c r="E14" s="7" t="n">
        <v>202034548</v>
      </c>
      <c r="F14" s="7" t="n">
        <v>0</v>
      </c>
      <c r="G14" s="7" t="n">
        <v>0</v>
      </c>
      <c r="H14" s="7" t="n">
        <v>5957928</v>
      </c>
      <c r="I14" s="7" t="n">
        <v>0</v>
      </c>
      <c r="J14" s="15" t="n">
        <v>662254088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71314710.03</v>
      </c>
      <c r="F16" s="3" t="n">
        <v>0</v>
      </c>
      <c r="G16" s="3" t="n">
        <v>0</v>
      </c>
      <c r="H16" s="3" t="n">
        <v>0</v>
      </c>
      <c r="I16" s="3" t="n">
        <v>0</v>
      </c>
      <c r="J16" s="15" t="n">
        <v>71314710.03</v>
      </c>
    </row>
    <row r="17">
      <c r="A17" s="16" t="inlineStr">
        <is>
          <t>Despesa autorizada 2026 (DESP AUT.)</t>
        </is>
      </c>
      <c r="B17" s="7" t="n">
        <v>454261612</v>
      </c>
      <c r="C17" s="7" t="n">
        <v>0</v>
      </c>
      <c r="D17" s="7" t="n">
        <v>0</v>
      </c>
      <c r="E17" s="7" t="n">
        <v>130719837.97</v>
      </c>
      <c r="F17" s="7" t="n">
        <v>0</v>
      </c>
      <c r="G17" s="7" t="n">
        <v>0</v>
      </c>
      <c r="H17" s="7" t="n">
        <v>5557928</v>
      </c>
      <c r="I17" s="7" t="n">
        <v>0</v>
      </c>
      <c r="J17" s="15" t="n">
        <v>590539377.97</v>
      </c>
    </row>
    <row r="18">
      <c r="A18" s="16" t="inlineStr">
        <is>
          <t>Empenhado 2026 (jan–ago fechado)</t>
        </is>
      </c>
      <c r="B18" s="7" t="n">
        <v>453156972.93</v>
      </c>
      <c r="C18" s="7" t="n">
        <v>0</v>
      </c>
      <c r="D18" s="7" t="n">
        <v>0</v>
      </c>
      <c r="E18" s="7" t="n">
        <v>123665685.73</v>
      </c>
      <c r="F18" s="7" t="n">
        <v>0</v>
      </c>
      <c r="G18" s="7" t="n">
        <v>0</v>
      </c>
      <c r="H18" s="7" t="n">
        <v>604704.1</v>
      </c>
      <c r="I18" s="7" t="n">
        <v>0</v>
      </c>
      <c r="J18" s="15" t="n">
        <v>577427362.76</v>
      </c>
    </row>
    <row r="19">
      <c r="A19" s="2" t="inlineStr">
        <is>
          <t>Disponível 2026 (saldo)</t>
        </is>
      </c>
      <c r="B19" s="3" t="n">
        <v>1104639.07</v>
      </c>
      <c r="C19" s="3" t="n">
        <v>0</v>
      </c>
      <c r="D19" s="3" t="n">
        <v>0</v>
      </c>
      <c r="E19" s="3" t="n">
        <v>7054152.24</v>
      </c>
      <c r="F19" s="3" t="n">
        <v>0</v>
      </c>
      <c r="G19" s="3" t="n">
        <v>0</v>
      </c>
      <c r="H19" s="3" t="n">
        <v>4953223.899999999</v>
      </c>
      <c r="I19" s="3" t="n">
        <v>0</v>
      </c>
      <c r="J19" s="15" t="n">
        <v>13112015.21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6" t="inlineStr">
        <is>
          <t>Déficit/superávit vs dotação autorizada (LEI+ALT)</t>
        </is>
      </c>
      <c r="B21" s="7" t="n">
        <v>89244928.63999999</v>
      </c>
      <c r="C21" s="7" t="n">
        <v>-33014027.73</v>
      </c>
      <c r="D21" s="7" t="n">
        <v>-26293860</v>
      </c>
      <c r="E21" s="7" t="n">
        <v>8597581.360000014</v>
      </c>
      <c r="F21" s="7" t="n">
        <v>-42145416.84</v>
      </c>
      <c r="G21" s="7" t="n">
        <v>-822477.1</v>
      </c>
      <c r="H21" s="7" t="n">
        <v>-4752498.52</v>
      </c>
      <c r="I21" s="7" t="n">
        <v>0</v>
      </c>
      <c r="J21" s="15" t="n">
        <v>-9185770.190000003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>
      <c r="A23" s="2" t="inlineStr">
        <is>
          <t>Liquidado acumulado 2026 (jan–ago)</t>
        </is>
      </c>
      <c r="B23" s="3" t="n">
        <v>447527902.39</v>
      </c>
      <c r="C23" s="3" t="n">
        <v>0</v>
      </c>
      <c r="D23" s="3" t="n">
        <v>0</v>
      </c>
      <c r="E23" s="3" t="n">
        <v>100625848.2</v>
      </c>
      <c r="F23" s="3" t="n">
        <v>0</v>
      </c>
      <c r="G23" s="3" t="n">
        <v>0</v>
      </c>
      <c r="H23" s="3" t="n">
        <v>418524.1</v>
      </c>
      <c r="I23" s="3" t="n">
        <v>0</v>
      </c>
      <c r="J23" s="15" t="n">
        <v>548572274.6899999</v>
      </c>
    </row>
    <row r="24">
      <c r="A24" s="2" t="inlineStr">
        <is>
          <t>Média mensal do liquidado (abr–ago)</t>
        </is>
      </c>
      <c r="B24" s="3" t="n">
        <v>53439549.252</v>
      </c>
      <c r="C24" s="3" t="n">
        <v>0</v>
      </c>
      <c r="D24" s="3" t="n">
        <v>0</v>
      </c>
      <c r="E24" s="3" t="n">
        <v>14828901.138</v>
      </c>
      <c r="F24" s="3" t="n">
        <v>0</v>
      </c>
      <c r="G24" s="3" t="n">
        <v>0</v>
      </c>
      <c r="H24" s="3" t="n">
        <v>82085.72199999999</v>
      </c>
      <c r="I24" s="3" t="n">
        <v>0</v>
      </c>
      <c r="J24" s="15" t="n">
        <v>68350536.112</v>
      </c>
    </row>
    <row r="25">
      <c r="A25" s="2" t="inlineStr">
        <is>
          <t>Projeção do liquidado até dez (acum + média × meses restantes)</t>
        </is>
      </c>
      <c r="B25" s="3" t="n">
        <v>661286099.398</v>
      </c>
      <c r="C25" s="3" t="n">
        <v>0</v>
      </c>
      <c r="D25" s="3" t="n">
        <v>0</v>
      </c>
      <c r="E25" s="3" t="n">
        <v>159941452.752</v>
      </c>
      <c r="F25" s="3" t="n">
        <v>0</v>
      </c>
      <c r="G25" s="3" t="n">
        <v>0</v>
      </c>
      <c r="H25" s="3" t="n">
        <v>746866.9879999999</v>
      </c>
      <c r="I25" s="3" t="n">
        <v>0</v>
      </c>
      <c r="J25" s="15" t="n">
        <v>821974419.138</v>
      </c>
    </row>
    <row r="26">
      <c r="A26" s="16" t="inlineStr">
        <is>
          <t>Déficit/superávit vs dotação autorizada (LEI+ALT)</t>
        </is>
      </c>
      <c r="B26" s="7" t="n">
        <v>-207024487.398</v>
      </c>
      <c r="C26" s="7" t="n">
        <v>0</v>
      </c>
      <c r="D26" s="7" t="n">
        <v>0</v>
      </c>
      <c r="E26" s="7" t="n">
        <v>42093095.248</v>
      </c>
      <c r="F26" s="7" t="n">
        <v>0</v>
      </c>
      <c r="G26" s="7" t="n">
        <v>0</v>
      </c>
      <c r="H26" s="7" t="n">
        <v>5211061.012</v>
      </c>
      <c r="I26" s="7" t="n">
        <v>0</v>
      </c>
      <c r="J26" s="15" t="n">
        <v>-159720331.138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2" t="inlineStr">
        <is>
          <t>Liquidado acumulado 2026 (jan–ago)</t>
        </is>
      </c>
      <c r="B28" s="3" t="n">
        <v>447527902.39</v>
      </c>
      <c r="C28" s="3" t="n">
        <v>0</v>
      </c>
      <c r="D28" s="3" t="n">
        <v>0</v>
      </c>
      <c r="E28" s="3" t="n">
        <v>100625848.2</v>
      </c>
      <c r="F28" s="3" t="n">
        <v>0</v>
      </c>
      <c r="G28" s="3" t="n">
        <v>0</v>
      </c>
      <c r="H28" s="3" t="n">
        <v>418524.1</v>
      </c>
      <c r="I28" s="3" t="n">
        <v>0</v>
      </c>
      <c r="J28" s="15" t="n">
        <v>548572274.6899999</v>
      </c>
    </row>
    <row r="29">
      <c r="A29" s="2" t="inlineStr">
        <is>
          <t>Mediana mensal do liquidado (abr–ago)</t>
        </is>
      </c>
      <c r="B29" s="3" t="n">
        <v>62461801.64</v>
      </c>
      <c r="C29" s="3" t="n">
        <v>0</v>
      </c>
      <c r="D29" s="3" t="n">
        <v>0</v>
      </c>
      <c r="E29" s="3" t="n">
        <v>3275026.25</v>
      </c>
      <c r="F29" s="3" t="n">
        <v>0</v>
      </c>
      <c r="G29" s="3" t="n">
        <v>0</v>
      </c>
      <c r="H29" s="3" t="n">
        <v>0</v>
      </c>
      <c r="I29" s="3" t="n">
        <v>0</v>
      </c>
      <c r="J29" s="15" t="n">
        <v>65736827.89</v>
      </c>
    </row>
    <row r="30">
      <c r="A30" s="2" t="inlineStr">
        <is>
          <t>Projeção do liquidado até dez (acum + mediana × meses restantes)</t>
        </is>
      </c>
      <c r="B30" s="3" t="n">
        <v>697375108.95</v>
      </c>
      <c r="C30" s="3" t="n">
        <v>0</v>
      </c>
      <c r="D30" s="3" t="n">
        <v>0</v>
      </c>
      <c r="E30" s="3" t="n">
        <v>113725953.2</v>
      </c>
      <c r="F30" s="3" t="n">
        <v>0</v>
      </c>
      <c r="G30" s="3" t="n">
        <v>0</v>
      </c>
      <c r="H30" s="3" t="n">
        <v>418524.1</v>
      </c>
      <c r="I30" s="3" t="n">
        <v>0</v>
      </c>
      <c r="J30" s="15" t="n">
        <v>811519586.25</v>
      </c>
    </row>
    <row r="31">
      <c r="A31" s="16" t="inlineStr">
        <is>
          <t>Déficit/superávit vs dotação autorizada (LEI+ALT)</t>
        </is>
      </c>
      <c r="B31" s="7" t="n">
        <v>-243113496.95</v>
      </c>
      <c r="C31" s="7" t="n">
        <v>0</v>
      </c>
      <c r="D31" s="7" t="n">
        <v>0</v>
      </c>
      <c r="E31" s="7" t="n">
        <v>88308594.8</v>
      </c>
      <c r="F31" s="7" t="n">
        <v>0</v>
      </c>
      <c r="G31" s="7" t="n">
        <v>0</v>
      </c>
      <c r="H31" s="7" t="n">
        <v>5539403.9</v>
      </c>
      <c r="I31" s="7" t="n">
        <v>0</v>
      </c>
      <c r="J31" s="15" t="n">
        <v>-149265498.2500001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(R$ 662,3 mi) é inferior ao empenhado de 2025 (R$ 671,4 mi), déficit potencial de R$ 9,2 mi caso a demanda repita o exercício anterior.</t>
        </is>
      </c>
    </row>
    <row r="35" ht="18" customHeight="1">
      <c r="A35" s="18" t="inlineStr">
        <is>
          <t>2.  Ritmo de execução: 97,8%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(R$ 822,0 mi) supera a dotação — déficit de R$ 159,7 mi.</t>
        </is>
      </c>
    </row>
    <row r="37" ht="33" customHeight="1">
      <c r="A37" s="18" t="inlineStr">
        <is>
          <t>4.  Comparação 3 (mediana): pela mediana dos 5 meses fechados (abr–ago), a projeção do liquidado até dez (R$ 811,5 mi) supera a dotação — déficit de R$ 149,3 mi.</t>
        </is>
      </c>
    </row>
    <row r="38" ht="18" customHeight="1">
      <c r="A38" s="18" t="inlineStr">
        <is>
          <t>5.  Recursos retidos: R$ 71,3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671439858.1900001</v>
      </c>
    </row>
    <row r="42">
      <c r="A42" s="20" t="inlineStr">
        <is>
          <t>Dotação Autorizada 2026</t>
        </is>
      </c>
      <c r="B42" s="21" t="n">
        <v>662254088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59981385.16</v>
      </c>
      <c r="C45" s="21" t="n">
        <v>662254088</v>
      </c>
    </row>
    <row r="46">
      <c r="A46" s="20" t="inlineStr">
        <is>
          <t>Fev</t>
        </is>
      </c>
      <c r="B46" s="21" t="n">
        <v>134080216.87</v>
      </c>
      <c r="C46" s="21" t="n">
        <v>662254088</v>
      </c>
    </row>
    <row r="47">
      <c r="A47" s="20" t="inlineStr">
        <is>
          <t>Mar</t>
        </is>
      </c>
      <c r="B47" s="21" t="n">
        <v>206819594.13</v>
      </c>
      <c r="C47" s="21" t="n">
        <v>662254088</v>
      </c>
    </row>
    <row r="48">
      <c r="A48" s="20" t="inlineStr">
        <is>
          <t>Abr</t>
        </is>
      </c>
      <c r="B48" s="21" t="n">
        <v>238026833.43</v>
      </c>
      <c r="C48" s="21" t="n">
        <v>662254088</v>
      </c>
    </row>
    <row r="49">
      <c r="A49" s="20" t="inlineStr">
        <is>
          <t>Mai</t>
        </is>
      </c>
      <c r="B49" s="21" t="n">
        <v>344814220.31</v>
      </c>
      <c r="C49" s="21" t="n">
        <v>662254088</v>
      </c>
    </row>
    <row r="50">
      <c r="A50" s="20" t="inlineStr">
        <is>
          <t>Jun</t>
        </is>
      </c>
      <c r="B50" s="21" t="n">
        <v>407862828.77</v>
      </c>
      <c r="C50" s="21" t="n">
        <v>662254088</v>
      </c>
    </row>
    <row r="51">
      <c r="A51" s="20" t="inlineStr">
        <is>
          <t>Jul</t>
        </is>
      </c>
      <c r="B51" s="21" t="n">
        <v>479356625.83</v>
      </c>
      <c r="C51" s="21" t="n">
        <v>662254088</v>
      </c>
    </row>
    <row r="52">
      <c r="A52" s="20" t="inlineStr">
        <is>
          <t>Ago</t>
        </is>
      </c>
      <c r="B52" s="21" t="n">
        <v>548572274.6899999</v>
      </c>
      <c r="C52" s="21" t="n">
        <v>662254088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467292465.03</v>
      </c>
    </row>
    <row r="55">
      <c r="A55" s="20" t="inlineStr">
        <is>
          <t>Dotação Autorizada 2026 (tesouro)</t>
        </is>
      </c>
      <c r="B55" s="21" t="n">
        <v>454261612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42000042.65</v>
      </c>
      <c r="C58" s="21" t="n">
        <v>454261612</v>
      </c>
    </row>
    <row r="59">
      <c r="A59" s="20" t="inlineStr">
        <is>
          <t>Fev</t>
        </is>
      </c>
      <c r="B59" s="21" t="n">
        <v>107598874.36</v>
      </c>
      <c r="C59" s="21" t="n">
        <v>454261612</v>
      </c>
    </row>
    <row r="60">
      <c r="A60" s="20" t="inlineStr">
        <is>
          <t>Mar</t>
        </is>
      </c>
      <c r="B60" s="21" t="n">
        <v>180330156.13</v>
      </c>
      <c r="C60" s="21" t="n">
        <v>454261612</v>
      </c>
    </row>
    <row r="61">
      <c r="A61" s="20" t="inlineStr">
        <is>
          <t>Abr</t>
        </is>
      </c>
      <c r="B61" s="21" t="n">
        <v>208020540.57</v>
      </c>
      <c r="C61" s="21" t="n">
        <v>454261612</v>
      </c>
    </row>
    <row r="62">
      <c r="A62" s="20" t="inlineStr">
        <is>
          <t>Mai</t>
        </is>
      </c>
      <c r="B62" s="21" t="n">
        <v>309300098.96</v>
      </c>
      <c r="C62" s="21" t="n">
        <v>454261612</v>
      </c>
    </row>
    <row r="63">
      <c r="A63" s="20" t="inlineStr">
        <is>
          <t>Jun</t>
        </is>
      </c>
      <c r="B63" s="21" t="n">
        <v>371761900.6</v>
      </c>
      <c r="C63" s="21" t="n">
        <v>454261612</v>
      </c>
    </row>
    <row r="64">
      <c r="A64" s="20" t="inlineStr">
        <is>
          <t>Jul</t>
        </is>
      </c>
      <c r="B64" s="21" t="n">
        <v>441711575.47</v>
      </c>
      <c r="C64" s="21" t="n">
        <v>454261612</v>
      </c>
    </row>
    <row r="65">
      <c r="A65" s="20" t="inlineStr">
        <is>
          <t>Ago</t>
        </is>
      </c>
      <c r="B65" s="21" t="n">
        <v>447527902.39</v>
      </c>
      <c r="C65" s="21" t="n">
        <v>454261612</v>
      </c>
    </row>
  </sheetData>
  <mergeCells count="6">
    <mergeCell ref="A37:J37"/>
    <mergeCell ref="A36:J36"/>
    <mergeCell ref="A34:J34"/>
    <mergeCell ref="A35:J35"/>
    <mergeCell ref="A38:J38"/>
    <mergeCell ref="A33:J33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STPC — Equilíbrio Financeiro Consolidado (Ação 2455)</t>
        </is>
      </c>
    </row>
    <row r="2">
      <c r="A2" s="10" t="inlineStr">
        <is>
          <t>Consolida os PTs de Passe Livre da Ação 4202 | 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183</t>
        </is>
      </c>
      <c r="F4" s="12" t="inlineStr">
        <is>
          <t>FONTE 197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480000000</v>
      </c>
      <c r="C6" s="3" t="n">
        <v>0</v>
      </c>
      <c r="D6" s="3" t="n">
        <v>0</v>
      </c>
      <c r="E6" s="3" t="n">
        <v>0</v>
      </c>
      <c r="F6" s="3" t="n">
        <v>1024389</v>
      </c>
      <c r="G6" s="15" t="n">
        <v>481024389</v>
      </c>
    </row>
    <row r="7">
      <c r="A7" s="2" t="inlineStr">
        <is>
          <t>Alterações 2025</t>
        </is>
      </c>
      <c r="B7" s="3" t="n">
        <v>311230863</v>
      </c>
      <c r="C7" s="3" t="n">
        <v>87671200</v>
      </c>
      <c r="D7" s="3" t="n">
        <v>56328800</v>
      </c>
      <c r="E7" s="3" t="n">
        <v>1212709</v>
      </c>
      <c r="F7" s="3" t="n">
        <v>55654257</v>
      </c>
      <c r="G7" s="15" t="n">
        <v>512097829</v>
      </c>
    </row>
    <row r="8">
      <c r="A8" s="2" t="inlineStr">
        <is>
          <t>Despesa autorizada 2025 (DESP AUT.)</t>
        </is>
      </c>
      <c r="B8" s="3" t="n">
        <v>791230863</v>
      </c>
      <c r="C8" s="3" t="n">
        <v>87671200</v>
      </c>
      <c r="D8" s="3" t="n">
        <v>56328800</v>
      </c>
      <c r="E8" s="3" t="n">
        <v>1212709</v>
      </c>
      <c r="F8" s="3" t="n">
        <v>56678646</v>
      </c>
      <c r="G8" s="15" t="n">
        <v>993122218</v>
      </c>
    </row>
    <row r="9">
      <c r="A9" s="16" t="inlineStr">
        <is>
          <t>Empenhado 2025</t>
        </is>
      </c>
      <c r="B9" s="7" t="n">
        <v>791175843.71</v>
      </c>
      <c r="C9" s="7" t="n">
        <v>87671199.98999999</v>
      </c>
      <c r="D9" s="7" t="n">
        <v>56328799.99</v>
      </c>
      <c r="E9" s="7" t="n">
        <v>1212709</v>
      </c>
      <c r="F9" s="7" t="n">
        <v>55654256</v>
      </c>
      <c r="G9" s="15" t="n">
        <v>992042808.6900001</v>
      </c>
    </row>
    <row r="10">
      <c r="A10" s="2" t="inlineStr">
        <is>
          <t>Liquidado 2025</t>
        </is>
      </c>
      <c r="B10" s="3" t="n">
        <v>791112843.71</v>
      </c>
      <c r="C10" s="3" t="n">
        <v>87671199.98999999</v>
      </c>
      <c r="D10" s="3" t="n">
        <v>56328799.99</v>
      </c>
      <c r="E10" s="3" t="n">
        <v>1212709</v>
      </c>
      <c r="F10" s="3" t="n">
        <v>55654256</v>
      </c>
      <c r="G10" s="15" t="n">
        <v>991979808.6900001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888597955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888597955</v>
      </c>
    </row>
    <row r="13">
      <c r="A13" s="2" t="inlineStr">
        <is>
          <t>Alterações 2026</t>
        </is>
      </c>
      <c r="B13" s="3" t="n">
        <v>194131633</v>
      </c>
      <c r="C13" s="3" t="n">
        <v>104585349</v>
      </c>
      <c r="D13" s="3" t="n">
        <v>0</v>
      </c>
      <c r="E13" s="3" t="n">
        <v>0</v>
      </c>
      <c r="F13" s="3" t="n">
        <v>0</v>
      </c>
      <c r="G13" s="15" t="n">
        <v>298716982</v>
      </c>
    </row>
    <row r="14">
      <c r="A14" s="16" t="inlineStr">
        <is>
          <t>Dotação autorizada 2026 (LEI + ALTERAÇÃO)</t>
        </is>
      </c>
      <c r="B14" s="7" t="n">
        <v>1082729588</v>
      </c>
      <c r="C14" s="7" t="n">
        <v>104585349</v>
      </c>
      <c r="D14" s="7" t="n">
        <v>0</v>
      </c>
      <c r="E14" s="7" t="n">
        <v>0</v>
      </c>
      <c r="F14" s="7" t="n">
        <v>0</v>
      </c>
      <c r="G14" s="15" t="n">
        <v>1187314937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932689880</v>
      </c>
      <c r="C17" s="7" t="n">
        <v>104585349</v>
      </c>
      <c r="D17" s="7" t="n">
        <v>0</v>
      </c>
      <c r="E17" s="7" t="n">
        <v>0</v>
      </c>
      <c r="F17" s="7" t="n">
        <v>0</v>
      </c>
      <c r="G17" s="15" t="n">
        <v>1037275229</v>
      </c>
    </row>
    <row r="18">
      <c r="A18" s="16" t="inlineStr">
        <is>
          <t>Empenhado 2026 (jan–ago fechado)</t>
        </is>
      </c>
      <c r="B18" s="7" t="n">
        <v>909053332.8399999</v>
      </c>
      <c r="C18" s="7" t="n">
        <v>104537179.12</v>
      </c>
      <c r="D18" s="7" t="n">
        <v>0</v>
      </c>
      <c r="E18" s="7" t="n">
        <v>0</v>
      </c>
      <c r="F18" s="7" t="n">
        <v>0</v>
      </c>
      <c r="G18" s="15" t="n">
        <v>1013590511.96</v>
      </c>
    </row>
    <row r="19">
      <c r="A19" s="2" t="inlineStr">
        <is>
          <t>Disponível 2026 (saldo)</t>
        </is>
      </c>
      <c r="B19" s="3" t="n">
        <v>23636547.16</v>
      </c>
      <c r="C19" s="3" t="n">
        <v>48169.88</v>
      </c>
      <c r="D19" s="3" t="n">
        <v>0</v>
      </c>
      <c r="E19" s="3" t="n">
        <v>0</v>
      </c>
      <c r="F19" s="3" t="n">
        <v>0</v>
      </c>
      <c r="G19" s="15" t="n">
        <v>23684717.04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291553744.29</v>
      </c>
      <c r="C21" s="7" t="n">
        <v>16914149.01000001</v>
      </c>
      <c r="D21" s="7" t="n">
        <v>-56328799.99</v>
      </c>
      <c r="E21" s="7" t="n">
        <v>-1212709</v>
      </c>
      <c r="F21" s="7" t="n">
        <v>-55654256</v>
      </c>
      <c r="G21" s="15" t="n">
        <v>195272128.31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902925263.83</v>
      </c>
      <c r="C23" s="3" t="n">
        <v>104537179.12</v>
      </c>
      <c r="D23" s="3" t="n">
        <v>0</v>
      </c>
      <c r="E23" s="3" t="n">
        <v>0</v>
      </c>
      <c r="F23" s="3" t="n">
        <v>0</v>
      </c>
      <c r="G23" s="15" t="n">
        <v>1007462442.95</v>
      </c>
    </row>
    <row r="24">
      <c r="A24" s="2" t="inlineStr">
        <is>
          <t>Média mensal do liquidado (abr–ago)</t>
        </is>
      </c>
      <c r="B24" s="3" t="n">
        <v>114894879.342</v>
      </c>
      <c r="C24" s="3" t="n">
        <v>20907435.824</v>
      </c>
      <c r="D24" s="3" t="n">
        <v>0</v>
      </c>
      <c r="E24" s="3" t="n">
        <v>0</v>
      </c>
      <c r="F24" s="3" t="n">
        <v>0</v>
      </c>
      <c r="G24" s="15" t="n">
        <v>135802315.166</v>
      </c>
    </row>
    <row r="25">
      <c r="A25" s="2" t="inlineStr">
        <is>
          <t>Projeção do liquidado até dez (acum + média × meses restantes)</t>
        </is>
      </c>
      <c r="B25" s="3" t="n">
        <v>1362504781.198</v>
      </c>
      <c r="C25" s="3" t="n">
        <v>188166922.416</v>
      </c>
      <c r="D25" s="3" t="n">
        <v>0</v>
      </c>
      <c r="E25" s="3" t="n">
        <v>0</v>
      </c>
      <c r="F25" s="3" t="n">
        <v>0</v>
      </c>
      <c r="G25" s="15" t="n">
        <v>1550671703.614</v>
      </c>
    </row>
    <row r="26">
      <c r="A26" s="16" t="inlineStr">
        <is>
          <t>Déficit/superávit vs dotação autorizada (LEI+ALT)</t>
        </is>
      </c>
      <c r="B26" s="7" t="n">
        <v>-279775193.198</v>
      </c>
      <c r="C26" s="7" t="n">
        <v>-83581573.41600001</v>
      </c>
      <c r="D26" s="7" t="n">
        <v>0</v>
      </c>
      <c r="E26" s="7" t="n">
        <v>0</v>
      </c>
      <c r="F26" s="7" t="n">
        <v>0</v>
      </c>
      <c r="G26" s="15" t="n">
        <v>-363356766.614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902925263.83</v>
      </c>
      <c r="C28" s="3" t="n">
        <v>104537179.12</v>
      </c>
      <c r="D28" s="3" t="n">
        <v>0</v>
      </c>
      <c r="E28" s="3" t="n">
        <v>0</v>
      </c>
      <c r="F28" s="3" t="n">
        <v>0</v>
      </c>
      <c r="G28" s="15" t="n">
        <v>1007462442.95</v>
      </c>
    </row>
    <row r="29">
      <c r="A29" s="2" t="inlineStr">
        <is>
          <t>Mediana mensal do liquidado (abr–ago)</t>
        </is>
      </c>
      <c r="B29" s="3" t="n">
        <v>103825989.92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103825989.92</v>
      </c>
    </row>
    <row r="30">
      <c r="A30" s="2" t="inlineStr">
        <is>
          <t>Projeção do liquidado até dez (acum + mediana × meses restantes)</t>
        </is>
      </c>
      <c r="B30" s="3" t="n">
        <v>1318229223.51</v>
      </c>
      <c r="C30" s="3" t="n">
        <v>104537179.12</v>
      </c>
      <c r="D30" s="3" t="n">
        <v>0</v>
      </c>
      <c r="E30" s="3" t="n">
        <v>0</v>
      </c>
      <c r="F30" s="3" t="n">
        <v>0</v>
      </c>
      <c r="G30" s="15" t="n">
        <v>1422766402.63</v>
      </c>
    </row>
    <row r="31">
      <c r="A31" s="16" t="inlineStr">
        <is>
          <t>Déficit/superávit vs dotação autorizada (LEI+ALT)</t>
        </is>
      </c>
      <c r="B31" s="7" t="n">
        <v>-235499635.51</v>
      </c>
      <c r="C31" s="7" t="n">
        <v>48169.87999999523</v>
      </c>
      <c r="D31" s="7" t="n">
        <v>0</v>
      </c>
      <c r="E31" s="7" t="n">
        <v>0</v>
      </c>
      <c r="F31" s="7" t="n">
        <v>0</v>
      </c>
      <c r="G31" s="15" t="n">
        <v>-235451465.63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Consolidação: esta aba agrega os programas da Ação 2455 — 26.453.6216.2455.0001, 26.453.6216.2455.0002. Valores somados por fonte de recursos.</t>
        </is>
      </c>
    </row>
    <row r="35" ht="33" customHeight="1">
      <c r="A35" s="18" t="inlineStr">
        <is>
          <t>2.  Comparação 1: a dotação autorizada 2026 (R$ 1,19 bi) supera o empenhado de 2025 (R$ 992,0 mi), folga de R$ 195,3 mi frente ao exercício anterior.</t>
        </is>
      </c>
    </row>
    <row r="36" ht="18" customHeight="1">
      <c r="A36" s="18" t="inlineStr">
        <is>
          <t>3.  Ritmo de execução: 97,7%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(R$ 1,55 bi) supera a dotação — déficit de R$ 363,4 mi.</t>
        </is>
      </c>
    </row>
    <row r="38" ht="33" customHeight="1">
      <c r="A38" s="18" t="inlineStr">
        <is>
          <t>5.  Comparação 3 (mediana): pela mediana dos 5 meses fechados (abr–ago), a projeção do liquidado até dez (R$ 1,42 bi) supera a dotação — déficit de R$ 235,5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992042808.6900001</v>
      </c>
    </row>
    <row r="42">
      <c r="A42" s="20" t="inlineStr">
        <is>
          <t>Dotação Autorizada 2026</t>
        </is>
      </c>
      <c r="B42" s="21" t="n">
        <v>1187314937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57409881.24</v>
      </c>
      <c r="C45" s="21" t="n">
        <v>1187314937</v>
      </c>
    </row>
    <row r="46">
      <c r="A46" s="20" t="inlineStr">
        <is>
          <t>Fev</t>
        </is>
      </c>
      <c r="B46" s="21" t="n">
        <v>192459039.37</v>
      </c>
      <c r="C46" s="21" t="n">
        <v>1187314937</v>
      </c>
    </row>
    <row r="47">
      <c r="A47" s="20" t="inlineStr">
        <is>
          <t>Mar</t>
        </is>
      </c>
      <c r="B47" s="21" t="n">
        <v>328450867.12</v>
      </c>
      <c r="C47" s="21" t="n">
        <v>1187314937</v>
      </c>
    </row>
    <row r="48">
      <c r="A48" s="20" t="inlineStr">
        <is>
          <t>Abr</t>
        </is>
      </c>
      <c r="B48" s="21" t="n">
        <v>428072317.29</v>
      </c>
      <c r="C48" s="21" t="n">
        <v>1187314937</v>
      </c>
    </row>
    <row r="49">
      <c r="A49" s="20" t="inlineStr">
        <is>
          <t>Mai</t>
        </is>
      </c>
      <c r="B49" s="21" t="n">
        <v>514970897.91</v>
      </c>
      <c r="C49" s="21" t="n">
        <v>1187314937</v>
      </c>
    </row>
    <row r="50">
      <c r="A50" s="20" t="inlineStr">
        <is>
          <t>Jun</t>
        </is>
      </c>
      <c r="B50" s="21" t="n">
        <v>679430034.05</v>
      </c>
      <c r="C50" s="21" t="n">
        <v>1187314937</v>
      </c>
    </row>
    <row r="51">
      <c r="A51" s="20" t="inlineStr">
        <is>
          <t>Jul</t>
        </is>
      </c>
      <c r="B51" s="21" t="n">
        <v>799099273.91</v>
      </c>
      <c r="C51" s="21" t="n">
        <v>1187314937</v>
      </c>
    </row>
    <row r="52">
      <c r="A52" s="20" t="inlineStr">
        <is>
          <t>Ago</t>
        </is>
      </c>
      <c r="B52" s="21" t="n">
        <v>1007462442.95</v>
      </c>
      <c r="C52" s="21" t="n">
        <v>1187314937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936388552.6900001</v>
      </c>
    </row>
    <row r="55">
      <c r="A55" s="20" t="inlineStr">
        <is>
          <t>Dotação Autorizada 2026 (tesouro)</t>
        </is>
      </c>
      <c r="B55" s="21" t="n">
        <v>1187314937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57409881.24</v>
      </c>
      <c r="C58" s="21" t="n">
        <v>1187314937</v>
      </c>
    </row>
    <row r="59">
      <c r="A59" s="20" t="inlineStr">
        <is>
          <t>Fev</t>
        </is>
      </c>
      <c r="B59" s="21" t="n">
        <v>192459039.37</v>
      </c>
      <c r="C59" s="21" t="n">
        <v>1187314937</v>
      </c>
    </row>
    <row r="60">
      <c r="A60" s="20" t="inlineStr">
        <is>
          <t>Mar</t>
        </is>
      </c>
      <c r="B60" s="21" t="n">
        <v>328450867.12</v>
      </c>
      <c r="C60" s="21" t="n">
        <v>1187314937</v>
      </c>
    </row>
    <row r="61">
      <c r="A61" s="20" t="inlineStr">
        <is>
          <t>Abr</t>
        </is>
      </c>
      <c r="B61" s="21" t="n">
        <v>428072317.29</v>
      </c>
      <c r="C61" s="21" t="n">
        <v>1187314937</v>
      </c>
    </row>
    <row r="62">
      <c r="A62" s="20" t="inlineStr">
        <is>
          <t>Mai</t>
        </is>
      </c>
      <c r="B62" s="21" t="n">
        <v>514970897.91</v>
      </c>
      <c r="C62" s="21" t="n">
        <v>1187314937</v>
      </c>
    </row>
    <row r="63">
      <c r="A63" s="20" t="inlineStr">
        <is>
          <t>Jun</t>
        </is>
      </c>
      <c r="B63" s="21" t="n">
        <v>679430034.05</v>
      </c>
      <c r="C63" s="21" t="n">
        <v>1187314937</v>
      </c>
    </row>
    <row r="64">
      <c r="A64" s="20" t="inlineStr">
        <is>
          <t>Jul</t>
        </is>
      </c>
      <c r="B64" s="21" t="n">
        <v>799099273.91</v>
      </c>
      <c r="C64" s="21" t="n">
        <v>1187314937</v>
      </c>
    </row>
    <row r="65">
      <c r="A65" s="20" t="inlineStr">
        <is>
          <t>Ago</t>
        </is>
      </c>
      <c r="B65" s="21" t="n">
        <v>1007462442.95</v>
      </c>
      <c r="C65" s="21" t="n">
        <v>1187314937</v>
      </c>
    </row>
  </sheetData>
  <mergeCells count="6">
    <mergeCell ref="A36:G36"/>
    <mergeCell ref="A34:G34"/>
    <mergeCell ref="A35:G35"/>
    <mergeCell ref="A38:G38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7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4" t="inlineStr">
        <is>
          <t>DÉFICIT CONSOLIDADO — POSSÍVEIS DÉFICITS ATÉ O ENCERRAMENTO DE 2026</t>
        </is>
      </c>
    </row>
    <row r="2">
      <c r="A2" s="10" t="inlineStr">
        <is>
          <t>Base: qdd.xlsx + liq.xlsx | Valores em R$ | Negativo (vermelho) = déficit</t>
        </is>
      </c>
    </row>
    <row r="4">
      <c r="A4" s="20" t="inlineStr">
        <is>
          <t>Meses fechados de execução 2026 (jan–ago)</t>
        </is>
      </c>
      <c r="B4" s="25" t="n">
        <v>8</v>
      </c>
      <c r="C4" s="8" t="inlineStr">
        <is>
          <t>Premissa informada pelo usuário (ago fechado)</t>
        </is>
      </c>
    </row>
    <row r="5">
      <c r="A5" s="20" t="inlineStr">
        <is>
          <t>Fator de anualização (12/meses fechados)</t>
        </is>
      </c>
      <c r="B5" s="26" t="n">
        <v>1.5</v>
      </c>
    </row>
    <row r="6">
      <c r="A6" s="20" t="inlineStr">
        <is>
          <t>Meses restantes set–dez (Comp. 2 e 3)</t>
        </is>
      </c>
      <c r="B6" s="25" t="n">
        <v>4</v>
      </c>
    </row>
    <row r="8" ht="40" customHeight="1">
      <c r="A8" s="27" t="inlineStr">
        <is>
          <t>PROGRAMA DE TRABALHO</t>
        </is>
      </c>
      <c r="B8" s="27" t="inlineStr">
        <is>
          <t>DESCRIÇÃO</t>
        </is>
      </c>
      <c r="C8" s="27" t="inlineStr">
        <is>
          <t>EMPENHADO 2025</t>
        </is>
      </c>
      <c r="D8" s="27" t="inlineStr">
        <is>
          <t>DOTAÇÃO AUTORIZADA 2026 (LEI+ALT)</t>
        </is>
      </c>
      <c r="E8" s="27" t="inlineStr">
        <is>
          <t>EMPENHADO 2026 (JAN–AGO)</t>
        </is>
      </c>
      <c r="F8" s="27" t="inlineStr">
        <is>
          <t>PROJEÇÃO LIQUIDADO 2026 (MÉDIA 5M abr–ago)</t>
        </is>
      </c>
      <c r="G8" s="27" t="inlineStr">
        <is>
          <t>PROJEÇÃO LIQUIDADO 2026 (MEDIANA 5M abr–ago)</t>
        </is>
      </c>
      <c r="H8" s="28" t="inlineStr">
        <is>
          <t>COMP. 1 — DÉFICIT: EMPENHO 2025 × DOTAÇÃO 2026</t>
        </is>
      </c>
      <c r="I8" s="29" t="inlineStr">
        <is>
          <t>ALTERAÇÃO 2026 (créditos add./cancel.)</t>
        </is>
      </c>
      <c r="J8" s="27" t="inlineStr">
        <is>
          <t>COMP. 2 — DÉFICIT: PROJEÇÃO DO LIQUIDADO 2026 × DOTAÇÃO</t>
        </is>
      </c>
      <c r="K8" s="27" t="inlineStr">
        <is>
          <t>COMP. 3 — DÉFICIT: PROJEÇÃO (MEDIANA) × DOTAÇÃO</t>
        </is>
      </c>
    </row>
    <row r="9">
      <c r="A9" s="2" t="inlineStr">
        <is>
          <t>26.782.6216.4195.0001</t>
        </is>
      </c>
      <c r="B9" s="30" t="inlineStr">
        <is>
          <t>DER — Conservação de Rodovias</t>
        </is>
      </c>
      <c r="C9" s="3" t="n">
        <v>140325019.73</v>
      </c>
      <c r="D9" s="3" t="n">
        <v>94411388</v>
      </c>
      <c r="E9" s="3" t="n">
        <v>65515118.68</v>
      </c>
      <c r="F9" s="3" t="n">
        <v>74552015.99600001</v>
      </c>
      <c r="G9" s="3" t="n">
        <v>69584073.7</v>
      </c>
      <c r="H9" s="31" t="n">
        <v>-45913631.72999999</v>
      </c>
      <c r="I9" s="32" t="n">
        <v>13760638</v>
      </c>
      <c r="J9" s="3" t="n">
        <v>19859372.00399999</v>
      </c>
      <c r="K9" s="3" t="n">
        <v>24827314.3</v>
      </c>
    </row>
    <row r="10">
      <c r="A10" s="2" t="inlineStr">
        <is>
          <t>26.782.6216.2885.0001</t>
        </is>
      </c>
      <c r="B10" s="30" t="inlineStr">
        <is>
          <t>DER — Manutenção de Máquinas e Equipamentos</t>
        </is>
      </c>
      <c r="C10" s="3" t="n">
        <v>4781700.03</v>
      </c>
      <c r="D10" s="3" t="n">
        <v>4950000</v>
      </c>
      <c r="E10" s="3" t="n">
        <v>3464002.35</v>
      </c>
      <c r="F10" s="3" t="n">
        <v>3313591.310000001</v>
      </c>
      <c r="G10" s="3" t="n">
        <v>2998764.43</v>
      </c>
      <c r="H10" s="31" t="n">
        <v>168299.9699999997</v>
      </c>
      <c r="I10" s="32" t="n">
        <v>250000</v>
      </c>
      <c r="J10" s="3" t="n">
        <v>1636408.689999999</v>
      </c>
      <c r="K10" s="3" t="n">
        <v>1951235.57</v>
      </c>
    </row>
    <row r="11">
      <c r="A11" s="2" t="inlineStr">
        <is>
          <t>08.245.6228.9071.0003</t>
        </is>
      </c>
      <c r="B11" s="30" t="inlineStr">
        <is>
          <t>FAS — Bloco Proteção Social Básica</t>
        </is>
      </c>
      <c r="C11" s="3" t="n">
        <v>22823608.48</v>
      </c>
      <c r="D11" s="3" t="n">
        <v>26376397</v>
      </c>
      <c r="E11" s="3" t="n">
        <v>19075255.6</v>
      </c>
      <c r="F11" s="3" t="n">
        <v>25977778.954</v>
      </c>
      <c r="G11" s="3" t="n">
        <v>25126645.57</v>
      </c>
      <c r="H11" s="31" t="n">
        <v>3552788.52</v>
      </c>
      <c r="I11" s="32" t="n">
        <v>7590757</v>
      </c>
      <c r="J11" s="3" t="n">
        <v>398618.0459999964</v>
      </c>
      <c r="K11" s="3" t="n">
        <v>1249751.43</v>
      </c>
    </row>
    <row r="12">
      <c r="A12" s="2" t="inlineStr">
        <is>
          <t>08.245.6228.9073.0003</t>
        </is>
      </c>
      <c r="B12" s="30" t="inlineStr">
        <is>
          <t>FAS — Bloco Proteção Social Especial</t>
        </is>
      </c>
      <c r="C12" s="3" t="n">
        <v>105648016.56</v>
      </c>
      <c r="D12" s="3" t="n">
        <v>98013372</v>
      </c>
      <c r="E12" s="3" t="n">
        <v>85032391.48999999</v>
      </c>
      <c r="F12" s="3" t="n">
        <v>118474897.002</v>
      </c>
      <c r="G12" s="3" t="n">
        <v>114351074.45</v>
      </c>
      <c r="H12" s="31" t="n">
        <v>-7634644.559999987</v>
      </c>
      <c r="I12" s="32" t="n">
        <v>18477972</v>
      </c>
      <c r="J12" s="3" t="n">
        <v>-20461525.002</v>
      </c>
      <c r="K12" s="3" t="n">
        <v>-16337702.44999999</v>
      </c>
    </row>
    <row r="13">
      <c r="A13" s="2" t="inlineStr">
        <is>
          <t>08.244.6228.4162.0008</t>
        </is>
      </c>
      <c r="B13" s="30" t="inlineStr">
        <is>
          <t>FCEP — Transferência de Renda (DF Social)</t>
        </is>
      </c>
      <c r="C13" s="3" t="n">
        <v>114799347</v>
      </c>
      <c r="D13" s="3" t="n">
        <v>103838547</v>
      </c>
      <c r="E13" s="3" t="n">
        <v>103838547</v>
      </c>
      <c r="F13" s="3" t="n">
        <v>136055720</v>
      </c>
      <c r="G13" s="3" t="n">
        <v>136049440</v>
      </c>
      <c r="H13" s="31" t="n">
        <v>-10960800</v>
      </c>
      <c r="I13" s="32" t="n">
        <v>0</v>
      </c>
      <c r="J13" s="3" t="n">
        <v>-32217173</v>
      </c>
      <c r="K13" s="3" t="n">
        <v>-32210893</v>
      </c>
    </row>
    <row r="14">
      <c r="A14" s="2" t="inlineStr">
        <is>
          <t>10.302.6202.4206.0002</t>
        </is>
      </c>
      <c r="B14" s="30" t="inlineStr">
        <is>
          <t>FSDF — Contratos de Gestão HCB</t>
        </is>
      </c>
      <c r="C14" s="3" t="n">
        <v>247521499.31</v>
      </c>
      <c r="D14" s="3" t="n">
        <v>165762555</v>
      </c>
      <c r="E14" s="3" t="n">
        <v>127669671.47</v>
      </c>
      <c r="F14" s="3" t="n">
        <v>174372187.212</v>
      </c>
      <c r="G14" s="3" t="n">
        <v>124682703.54</v>
      </c>
      <c r="H14" s="31" t="n">
        <v>-81758944.31</v>
      </c>
      <c r="I14" s="32" t="n">
        <v>40702469</v>
      </c>
      <c r="J14" s="3" t="n">
        <v>-8609632.212000012</v>
      </c>
      <c r="K14" s="3" t="n">
        <v>41079851.46000001</v>
      </c>
    </row>
    <row r="15">
      <c r="A15" s="2" t="inlineStr">
        <is>
          <t>10.302.6202.4206.0001</t>
        </is>
      </c>
      <c r="B15" s="30" t="inlineStr">
        <is>
          <t>FSDF — Contratos de Gestão IGES-DF</t>
        </is>
      </c>
      <c r="C15" s="3" t="n">
        <v>1195212173.05</v>
      </c>
      <c r="D15" s="3" t="n">
        <v>785141932</v>
      </c>
      <c r="E15" s="3" t="n">
        <v>772761109.4400001</v>
      </c>
      <c r="F15" s="3" t="n">
        <v>938929617.48</v>
      </c>
      <c r="G15" s="3" t="n">
        <v>846492783.8</v>
      </c>
      <c r="H15" s="31" t="n">
        <v>-410070241.05</v>
      </c>
      <c r="I15" s="32" t="n">
        <v>266064391</v>
      </c>
      <c r="J15" s="3" t="n">
        <v>-153787685.48</v>
      </c>
      <c r="K15" s="3" t="n">
        <v>-61350851.79999995</v>
      </c>
    </row>
    <row r="16">
      <c r="A16" s="2" t="inlineStr">
        <is>
          <t>26.453.6216.2756.6137</t>
        </is>
      </c>
      <c r="B16" s="30" t="inlineStr">
        <is>
          <t>Metrô-DF — Manutenção do Sistema Ferroviário</t>
        </is>
      </c>
      <c r="C16" s="3" t="n">
        <v>147159985.33</v>
      </c>
      <c r="D16" s="3" t="n">
        <v>123163472</v>
      </c>
      <c r="E16" s="3" t="n">
        <v>104216655.86</v>
      </c>
      <c r="F16" s="3" t="n">
        <v>144734289.15</v>
      </c>
      <c r="G16" s="3" t="n">
        <v>147653916.47</v>
      </c>
      <c r="H16" s="31" t="n">
        <v>-23996513.33000001</v>
      </c>
      <c r="I16" s="32" t="n">
        <v>-11129528</v>
      </c>
      <c r="J16" s="3" t="n">
        <v>-21570817.15000001</v>
      </c>
      <c r="K16" s="3" t="n">
        <v>-24490444.47</v>
      </c>
    </row>
    <row r="17">
      <c r="A17" s="2" t="inlineStr">
        <is>
          <t>17.512.6209.2903.0001</t>
        </is>
      </c>
      <c r="B17" s="30" t="inlineStr">
        <is>
          <t>NOVACAP — Manutenção de Redes de Águas Pluviais</t>
        </is>
      </c>
      <c r="C17" s="3" t="n">
        <v>285379921.25</v>
      </c>
      <c r="D17" s="3" t="n">
        <v>93366912</v>
      </c>
      <c r="E17" s="3" t="n">
        <v>93265080.09999999</v>
      </c>
      <c r="F17" s="3" t="n">
        <v>114212533.074</v>
      </c>
      <c r="G17" s="3" t="n">
        <v>114077946.97</v>
      </c>
      <c r="H17" s="31" t="n">
        <v>-192013009.25</v>
      </c>
      <c r="I17" s="32" t="n">
        <v>71366912</v>
      </c>
      <c r="J17" s="3" t="n">
        <v>-20845621.074</v>
      </c>
      <c r="K17" s="3" t="n">
        <v>-20711034.97</v>
      </c>
    </row>
    <row r="18">
      <c r="A18" s="2" t="inlineStr">
        <is>
          <t>15.452.6209.8508.0002</t>
        </is>
      </c>
      <c r="B18" s="30" t="inlineStr">
        <is>
          <t>NOVACAP — Manutenção de Áreas Urbanizadas e Ajardinadas</t>
        </is>
      </c>
      <c r="C18" s="3" t="n">
        <v>378630891.71</v>
      </c>
      <c r="D18" s="3" t="n">
        <v>230517515</v>
      </c>
      <c r="E18" s="3" t="n">
        <v>230083678.12</v>
      </c>
      <c r="F18" s="3" t="n">
        <v>309230663.224</v>
      </c>
      <c r="G18" s="3" t="n">
        <v>289507218.44</v>
      </c>
      <c r="H18" s="31" t="n">
        <v>-148113376.71</v>
      </c>
      <c r="I18" s="32" t="n">
        <v>-29518820</v>
      </c>
      <c r="J18" s="3" t="n">
        <v>-78713148.22399998</v>
      </c>
      <c r="K18" s="3" t="n">
        <v>-58989703.44</v>
      </c>
    </row>
    <row r="19">
      <c r="A19" s="2" t="inlineStr">
        <is>
          <t>Ação 4202 (Passe Livre)</t>
        </is>
      </c>
      <c r="B19" s="30" t="inlineStr">
        <is>
          <t>Passe Livre — Consolidado (Ação 4202)</t>
        </is>
      </c>
      <c r="C19" s="3" t="n">
        <v>903250211.85</v>
      </c>
      <c r="D19" s="3" t="n">
        <v>283577866</v>
      </c>
      <c r="E19" s="3" t="n">
        <v>274204645.11</v>
      </c>
      <c r="F19" s="3" t="n">
        <v>360394405.22</v>
      </c>
      <c r="G19" s="3" t="n">
        <v>358989637.5</v>
      </c>
      <c r="H19" s="31" t="n">
        <v>-619672345.85</v>
      </c>
      <c r="I19" s="32" t="n">
        <v>57819142</v>
      </c>
      <c r="J19" s="3" t="n">
        <v>-76816539.21999997</v>
      </c>
      <c r="K19" s="3" t="n">
        <v>-75411771.5</v>
      </c>
    </row>
    <row r="20">
      <c r="A20" s="2" t="inlineStr">
        <is>
          <t>06.422.6217.2540.0002</t>
        </is>
      </c>
      <c r="B20" s="30" t="inlineStr">
        <is>
          <t>SEAPE — Fornecimento de Alimentação aos Presidiários</t>
        </is>
      </c>
      <c r="C20" s="3" t="n">
        <v>75248752.15000001</v>
      </c>
      <c r="D20" s="3" t="n">
        <v>82580000</v>
      </c>
      <c r="E20" s="3" t="n">
        <v>82579937.37</v>
      </c>
      <c r="F20" s="3" t="n">
        <v>120699105.58</v>
      </c>
      <c r="G20" s="3" t="n">
        <v>121148972.42</v>
      </c>
      <c r="H20" s="31" t="n">
        <v>7331247.849999994</v>
      </c>
      <c r="I20" s="32" t="n">
        <v>22580000</v>
      </c>
      <c r="J20" s="3" t="n">
        <v>-38119105.58000001</v>
      </c>
      <c r="K20" s="3" t="n">
        <v>-38568972.42</v>
      </c>
    </row>
    <row r="21">
      <c r="A21" s="2" t="inlineStr">
        <is>
          <t>06.421.6217.2727.0006</t>
        </is>
      </c>
      <c r="B21" s="30" t="inlineStr">
        <is>
          <t>SEAPE — Manutenção do Sistema Penitenciário</t>
        </is>
      </c>
      <c r="C21" s="3" t="n">
        <v>69384738.82000001</v>
      </c>
      <c r="D21" s="3" t="n">
        <v>56620453</v>
      </c>
      <c r="E21" s="3" t="n">
        <v>53490822.48999999</v>
      </c>
      <c r="F21" s="3" t="n">
        <v>70797819.41599999</v>
      </c>
      <c r="G21" s="3" t="n">
        <v>69898184.44</v>
      </c>
      <c r="H21" s="31" t="n">
        <v>-12764285.82000001</v>
      </c>
      <c r="I21" s="32" t="n">
        <v>-379547</v>
      </c>
      <c r="J21" s="3" t="n">
        <v>-14177366.41599999</v>
      </c>
      <c r="K21" s="3" t="n">
        <v>-13277731.44</v>
      </c>
    </row>
    <row r="22">
      <c r="A22" s="2" t="inlineStr">
        <is>
          <t>08.244.6228.4272.0001</t>
        </is>
      </c>
      <c r="B22" s="30" t="inlineStr">
        <is>
          <t>SEDES — Cartão Prato Cheio</t>
        </is>
      </c>
      <c r="C22" s="3" t="n">
        <v>346404406.7</v>
      </c>
      <c r="D22" s="3" t="n">
        <v>306663352</v>
      </c>
      <c r="E22" s="3" t="n">
        <v>306663352</v>
      </c>
      <c r="F22" s="3" t="n">
        <v>320531499.55</v>
      </c>
      <c r="G22" s="3" t="n">
        <v>320567499.55</v>
      </c>
      <c r="H22" s="31" t="n">
        <v>-39741054.69999999</v>
      </c>
      <c r="I22" s="32" t="n">
        <v>0</v>
      </c>
      <c r="J22" s="3" t="n">
        <v>-13868147.55000001</v>
      </c>
      <c r="K22" s="3" t="n">
        <v>-13904147.55000001</v>
      </c>
    </row>
    <row r="23">
      <c r="A23" s="2" t="inlineStr">
        <is>
          <t>08.306.6228.4175.0002</t>
        </is>
      </c>
      <c r="B23" s="30" t="inlineStr">
        <is>
          <t>SEDES — Restaurantes Comunitários</t>
        </is>
      </c>
      <c r="C23" s="3" t="n">
        <v>102462894.13</v>
      </c>
      <c r="D23" s="3" t="n">
        <v>83330907</v>
      </c>
      <c r="E23" s="3" t="n">
        <v>80726580.98</v>
      </c>
      <c r="F23" s="3" t="n">
        <v>95501355.336</v>
      </c>
      <c r="G23" s="3" t="n">
        <v>95238230.72</v>
      </c>
      <c r="H23" s="31" t="n">
        <v>-19131987.13</v>
      </c>
      <c r="I23" s="32" t="n">
        <v>-26669093</v>
      </c>
      <c r="J23" s="3" t="n">
        <v>-12170448.336</v>
      </c>
      <c r="K23" s="3" t="n">
        <v>-11907323.72</v>
      </c>
    </row>
    <row r="24">
      <c r="A24" s="2" t="inlineStr">
        <is>
          <t>04.122.0001.9126.0001</t>
        </is>
      </c>
      <c r="B24" s="30" t="inlineStr">
        <is>
          <t>SEEC — Aporte da Contribuição Mensal do GDF</t>
        </is>
      </c>
      <c r="C24" s="3" t="n">
        <v>239558375</v>
      </c>
      <c r="D24" s="3" t="n">
        <v>136396324</v>
      </c>
      <c r="E24" s="3" t="n">
        <v>115020988.69</v>
      </c>
      <c r="F24" s="3" t="n">
        <v>169830627.21</v>
      </c>
      <c r="G24" s="3" t="n">
        <v>155697518.37</v>
      </c>
      <c r="H24" s="31" t="n">
        <v>-103162051</v>
      </c>
      <c r="I24" s="32" t="n">
        <v>-19603676</v>
      </c>
      <c r="J24" s="3" t="n">
        <v>-33434303.20999998</v>
      </c>
      <c r="K24" s="3" t="n">
        <v>-19301194.37</v>
      </c>
    </row>
    <row r="25">
      <c r="A25" s="2" t="inlineStr">
        <is>
          <t>04.122.8203.2422.0006</t>
        </is>
      </c>
      <c r="B25" s="30" t="inlineStr">
        <is>
          <t>SEEC — Concessão de Bolsa Estágio</t>
        </is>
      </c>
      <c r="C25" s="3" t="n">
        <v>13284259.79</v>
      </c>
      <c r="D25" s="3" t="n">
        <v>20474327</v>
      </c>
      <c r="E25" s="3" t="n">
        <v>20473785.88</v>
      </c>
      <c r="F25" s="3" t="n">
        <v>8923633.762</v>
      </c>
      <c r="G25" s="3" t="n">
        <v>9086487.050000001</v>
      </c>
      <c r="H25" s="31" t="n">
        <v>7190067.210000001</v>
      </c>
      <c r="I25" s="32" t="n">
        <v>-12025673</v>
      </c>
      <c r="J25" s="3" t="n">
        <v>11550693.238</v>
      </c>
      <c r="K25" s="3" t="n">
        <v>11387839.95</v>
      </c>
    </row>
    <row r="26">
      <c r="A26" s="2" t="inlineStr">
        <is>
          <t>04.122.8203.2984.0001</t>
        </is>
      </c>
      <c r="B26" s="30" t="inlineStr">
        <is>
          <t>SEEC — Manutenção da Frota Oficial de Veículos</t>
        </is>
      </c>
      <c r="C26" s="3" t="n">
        <v>63769261.48</v>
      </c>
      <c r="D26" s="3" t="n">
        <v>78170130</v>
      </c>
      <c r="E26" s="3" t="n">
        <v>76652808.34999999</v>
      </c>
      <c r="F26" s="3" t="n">
        <v>64883453.478</v>
      </c>
      <c r="G26" s="3" t="n">
        <v>65346430.39</v>
      </c>
      <c r="H26" s="31" t="n">
        <v>14400868.52</v>
      </c>
      <c r="I26" s="32" t="n">
        <v>-6729870</v>
      </c>
      <c r="J26" s="3" t="n">
        <v>13286676.522</v>
      </c>
      <c r="K26" s="3" t="n">
        <v>12823699.61</v>
      </c>
    </row>
    <row r="27">
      <c r="A27" s="2" t="inlineStr">
        <is>
          <t>04.122.8203.2990.0008</t>
        </is>
      </c>
      <c r="B27" s="30" t="inlineStr">
        <is>
          <t>SEEC — Manutenção de Bens Imóveis do GDF (Limpeza)</t>
        </is>
      </c>
      <c r="C27" s="3" t="n">
        <v>125579677.58</v>
      </c>
      <c r="D27" s="3" t="n">
        <v>113624198</v>
      </c>
      <c r="E27" s="3" t="n">
        <v>76872476.25</v>
      </c>
      <c r="F27" s="3" t="n">
        <v>111501486.226</v>
      </c>
      <c r="G27" s="3" t="n">
        <v>87250448.53</v>
      </c>
      <c r="H27" s="31" t="n">
        <v>-11955479.58</v>
      </c>
      <c r="I27" s="32" t="n">
        <v>-16375802</v>
      </c>
      <c r="J27" s="3" t="n">
        <v>2122711.774000004</v>
      </c>
      <c r="K27" s="3" t="n">
        <v>26373749.47</v>
      </c>
    </row>
    <row r="28">
      <c r="A28" s="2" t="inlineStr">
        <is>
          <t>04.122.8203.2990.0006</t>
        </is>
      </c>
      <c r="B28" s="30" t="inlineStr">
        <is>
          <t>SEEC — Manutenção de Bens Imóveis do GDF (Vigilância)</t>
        </is>
      </c>
      <c r="C28" s="3" t="n">
        <v>470309948.58</v>
      </c>
      <c r="D28" s="3" t="n">
        <v>481451312</v>
      </c>
      <c r="E28" s="3" t="n">
        <v>472832297.49</v>
      </c>
      <c r="F28" s="3" t="n">
        <v>634028301.376</v>
      </c>
      <c r="G28" s="3" t="n">
        <v>622902560.8000001</v>
      </c>
      <c r="H28" s="31" t="n">
        <v>11141363.42000002</v>
      </c>
      <c r="I28" s="32" t="n">
        <v>259998593</v>
      </c>
      <c r="J28" s="3" t="n">
        <v>-152576989.376</v>
      </c>
      <c r="K28" s="3" t="n">
        <v>-141451248.8000001</v>
      </c>
    </row>
    <row r="29">
      <c r="A29" s="2" t="inlineStr">
        <is>
          <t>12.122.6221.4091.0096</t>
        </is>
      </c>
      <c r="B29" s="30" t="inlineStr">
        <is>
          <t>SEEDF — Educador Social Voluntário (ESV)</t>
        </is>
      </c>
      <c r="C29" s="3" t="n">
        <v>61333760</v>
      </c>
      <c r="D29" s="3" t="n">
        <v>68281142</v>
      </c>
      <c r="E29" s="3" t="n">
        <v>63795095.44</v>
      </c>
      <c r="F29" s="3" t="n">
        <v>114514600</v>
      </c>
      <c r="G29" s="3" t="n">
        <v>115626440</v>
      </c>
      <c r="H29" s="31" t="n">
        <v>6947382</v>
      </c>
      <c r="I29" s="32" t="n">
        <v>12337143</v>
      </c>
      <c r="J29" s="3" t="n">
        <v>-46233458</v>
      </c>
      <c r="K29" s="3" t="n">
        <v>-47345298</v>
      </c>
    </row>
    <row r="30">
      <c r="A30" s="2" t="inlineStr">
        <is>
          <t>15.452.6209.2079.6118</t>
        </is>
      </c>
      <c r="B30" s="30" t="inlineStr">
        <is>
          <t>SLU — Manutenção das Atividades de Limpeza Pública</t>
        </is>
      </c>
      <c r="C30" s="3" t="n">
        <v>671439858.1900001</v>
      </c>
      <c r="D30" s="3" t="n">
        <v>662254088</v>
      </c>
      <c r="E30" s="3" t="n">
        <v>577427362.76</v>
      </c>
      <c r="F30" s="3" t="n">
        <v>821974419.138</v>
      </c>
      <c r="G30" s="3" t="n">
        <v>811519586.25</v>
      </c>
      <c r="H30" s="31" t="n">
        <v>-9185770.190000057</v>
      </c>
      <c r="I30" s="32" t="n">
        <v>-63191282</v>
      </c>
      <c r="J30" s="3" t="n">
        <v>-159720331.138</v>
      </c>
      <c r="K30" s="3" t="n">
        <v>-149265498.25</v>
      </c>
    </row>
    <row r="31">
      <c r="A31" s="2" t="inlineStr">
        <is>
          <t>Ação 2455 (Equilíbrio STPC)</t>
        </is>
      </c>
      <c r="B31" s="30" t="inlineStr">
        <is>
          <t>STPC — Equilíbrio Financeiro Consolidado (Ação 2455)</t>
        </is>
      </c>
      <c r="C31" s="3" t="n">
        <v>992042808.6900001</v>
      </c>
      <c r="D31" s="3" t="n">
        <v>1187314937</v>
      </c>
      <c r="E31" s="3" t="n">
        <v>1013590511.96</v>
      </c>
      <c r="F31" s="3" t="n">
        <v>1550671703.614</v>
      </c>
      <c r="G31" s="3" t="n">
        <v>1422766402.63</v>
      </c>
      <c r="H31" s="31" t="n">
        <v>195272128.3099999</v>
      </c>
      <c r="I31" s="32" t="n">
        <v>298716982</v>
      </c>
      <c r="J31" s="3" t="n">
        <v>-363356766.6140001</v>
      </c>
      <c r="K31" s="3" t="n">
        <v>-235451465.6300001</v>
      </c>
    </row>
    <row r="32">
      <c r="A32" s="33" t="inlineStr">
        <is>
          <t>TOTAL (23 linhas — 26 PTs)</t>
        </is>
      </c>
      <c r="B32" s="34" t="n"/>
      <c r="C32" s="15" t="n">
        <v>6776351115.41</v>
      </c>
      <c r="D32" s="15" t="n">
        <v>5286281126</v>
      </c>
      <c r="E32" s="15" t="n">
        <v>4819252174.88</v>
      </c>
      <c r="F32" s="15" t="n">
        <v>6484105703.308001</v>
      </c>
      <c r="G32" s="15" t="n">
        <v>6126562966.02</v>
      </c>
      <c r="H32" s="35" t="n">
        <v>-1490069989.41</v>
      </c>
      <c r="I32" s="36" t="n">
        <v>884041708</v>
      </c>
      <c r="J32" s="15" t="n">
        <v>-1197824577.308</v>
      </c>
      <c r="K32" s="15" t="n">
        <v>-840281840.0200001</v>
      </c>
    </row>
    <row r="34" ht="12" customHeight="1">
      <c r="A34" s="37" t="inlineStr">
        <is>
          <t>NOTAS</t>
        </is>
      </c>
    </row>
    <row r="35" ht="24" customHeight="1">
      <c r="A35" s="38" t="inlineStr">
        <is>
          <t>1. Fonte: "qdd.xlsx" (2025 e 2026) e "liq.xlsx" (liquidado mensal). Marcadores originais na aba QDD_Filtrado; abas por PT segregam por fonte de recursos (3 primeiros dígitos).</t>
        </is>
      </c>
    </row>
    <row r="36" ht="24" customHeight="1">
      <c r="A36" s="38" t="inlineStr">
        <is>
          <t>2. Comparação 2 (liquidado — média): projeção = liquidado acumulado (jan–ago) + média mensal dos 5 meses fechados (abr–ago) × meses restantes (set–dez = 4). Comparação 3 (liquidado — mediana): mesma fórmula, trocando a média pela mediana dos mesmos 5 meses (abr–ago) — mais robusta a meses atípicos. A mediana é calculada por fonte sobre os totais mensais e somada entre fontes. Último mês tratado como fechado: ago (8 meses). Base na aba Liquidado_Mensal.</t>
        </is>
      </c>
    </row>
    <row r="37" ht="24" customHeight="1">
      <c r="A37" s="38" t="inlineStr">
        <is>
          <t>3. Consolidações por ação: (a) Passe Livre (Ação 4202) — 26.453.6216.4202.0002 (PNE), 12.361.6221.4202.0004 e 12.453.6221.4202.0010 (Estudantil) agregados em PT_4202_Consolidado; (b) Equilíbrio Financeiro do STPC (Ação 2455) — 26.453.6216.2455.0002 e 26.453.6216.2455.0001 agregados em PT_2455_Consolidado. Valores somados por fonte de recursos.</t>
        </is>
      </c>
    </row>
    <row r="38" ht="24" customHeight="1">
      <c r="A38" s="38" t="inlineStr">
        <is>
          <t>4. Transformação de PT: o programa 08.306.6228.4173.0003 foi transformado em 08.244.6228.4272.0001 durante 2025. A execução de 2025 dos dois códigos foi consolidada sob o 4272.0001 (Cartão Prato Cheio); em 2026 existe apenas o 4272.0001.</t>
        </is>
      </c>
    </row>
    <row r="39" ht="24" customHeight="1">
      <c r="A39" s="38" t="inlineStr">
        <is>
          <t>5. Valores fixos (snapshot): os números das comparações foram gravados como valores calculados a partir dos arquivos-fonte, e não como fórmulas — assim a planilha não recalcula (nem altera os números) ao ser aberta/editada no Excel. Para atualizar, é preciso reprocessar com novos arquivos.</t>
        </is>
      </c>
    </row>
    <row r="40" ht="24" customHeight="1">
      <c r="A40" s="38" t="inlineStr">
        <is>
          <t>6. Convenção: valores negativos (em vermelho) = déficit; positivos = superávit/folga.</t>
        </is>
      </c>
    </row>
    <row r="62">
      <c r="A62" s="19" t="inlineStr">
        <is>
          <t>DADOS — GRÁFICO DE LINHA (Consolidado)</t>
        </is>
      </c>
    </row>
    <row r="63">
      <c r="A63" s="22" t="inlineStr">
        <is>
          <t>Mês</t>
        </is>
      </c>
      <c r="B63" s="22" t="inlineStr">
        <is>
          <t>Liquidado acumulado (total)</t>
        </is>
      </c>
      <c r="C63" s="22" t="inlineStr">
        <is>
          <t>Dotação autorizada total 2026</t>
        </is>
      </c>
    </row>
    <row r="64">
      <c r="A64" s="20" t="inlineStr">
        <is>
          <t>Jan</t>
        </is>
      </c>
      <c r="B64" s="21" t="n">
        <v>582014097.66</v>
      </c>
      <c r="C64" s="21" t="n">
        <v>5286281126</v>
      </c>
    </row>
    <row r="65">
      <c r="A65" s="20" t="inlineStr">
        <is>
          <t>Fev</t>
        </is>
      </c>
      <c r="B65" s="21" t="n">
        <v>1089199590.36</v>
      </c>
      <c r="C65" s="21" t="n">
        <v>5286281126</v>
      </c>
    </row>
    <row r="66">
      <c r="A66" s="20" t="inlineStr">
        <is>
          <t>Mar</t>
        </is>
      </c>
      <c r="B66" s="21" t="n">
        <v>1842907367.74</v>
      </c>
      <c r="C66" s="21" t="n">
        <v>5286281126</v>
      </c>
    </row>
    <row r="67">
      <c r="A67" s="20" t="inlineStr">
        <is>
          <t>Abr</t>
        </is>
      </c>
      <c r="B67" s="21" t="n">
        <v>2194896476.78</v>
      </c>
      <c r="C67" s="21" t="n">
        <v>5286281126</v>
      </c>
    </row>
    <row r="68">
      <c r="A68" s="20" t="inlineStr">
        <is>
          <t>Mai</t>
        </is>
      </c>
      <c r="B68" s="21" t="n">
        <v>2708142714.93</v>
      </c>
      <c r="C68" s="21" t="n">
        <v>5286281126</v>
      </c>
    </row>
    <row r="69">
      <c r="A69" s="20" t="inlineStr">
        <is>
          <t>Jun</t>
        </is>
      </c>
      <c r="B69" s="21" t="n">
        <v>3225096014.01</v>
      </c>
      <c r="C69" s="21" t="n">
        <v>5286281126</v>
      </c>
    </row>
    <row r="70">
      <c r="A70" s="20" t="inlineStr">
        <is>
          <t>Jul</t>
        </is>
      </c>
      <c r="B70" s="21" t="n">
        <v>3723871180.77</v>
      </c>
      <c r="C70" s="21" t="n">
        <v>5286281126</v>
      </c>
    </row>
    <row r="71">
      <c r="A71" s="20" t="inlineStr">
        <is>
          <t>Ago</t>
        </is>
      </c>
      <c r="B71" s="21" t="n">
        <v>4421350887.5</v>
      </c>
      <c r="C71" s="21" t="n">
        <v>5286281126</v>
      </c>
    </row>
  </sheetData>
  <mergeCells count="7">
    <mergeCell ref="A34:K34"/>
    <mergeCell ref="A35:K35"/>
    <mergeCell ref="A39:K39"/>
    <mergeCell ref="A38:K38"/>
    <mergeCell ref="A36:K36"/>
    <mergeCell ref="A40:K40"/>
    <mergeCell ref="A37:K37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4" t="inlineStr">
        <is>
          <t>DÉFICIT CONSOLIDADO — POSSÍVEIS DÉFICITS ATÉ O ENCERRAMENTO DE 2026</t>
        </is>
      </c>
    </row>
    <row r="2">
      <c r="A2" s="10" t="inlineStr">
        <is>
          <t>SOMENTE fontes 100, 101, 102, 161, 178 e 183 | Base: qdd.xlsx | Valores em R$ | Negativo (vermelho) = déficit</t>
        </is>
      </c>
    </row>
    <row r="4">
      <c r="A4" s="20" t="inlineStr">
        <is>
          <t>Meses fechados de execução 2026 (jan–ago)</t>
        </is>
      </c>
      <c r="B4" s="25" t="n">
        <v>8</v>
      </c>
      <c r="C4" s="8" t="inlineStr">
        <is>
          <t>Premissa informada pelo usuário (ago fechado)</t>
        </is>
      </c>
    </row>
    <row r="5">
      <c r="A5" s="20" t="inlineStr">
        <is>
          <t>Fator de anualização (12/meses fechados)</t>
        </is>
      </c>
      <c r="B5" s="26" t="n">
        <v>1.5</v>
      </c>
    </row>
    <row r="6">
      <c r="A6" s="20" t="inlineStr">
        <is>
          <t>Meses restantes set–dez (Comp. 2 e 3)</t>
        </is>
      </c>
      <c r="B6" s="25" t="n">
        <v>4</v>
      </c>
    </row>
    <row r="8" ht="40" customHeight="1">
      <c r="A8" s="27" t="inlineStr">
        <is>
          <t>PROGRAMA DE TRABALHO</t>
        </is>
      </c>
      <c r="B8" s="27" t="inlineStr">
        <is>
          <t>DESCRIÇÃO</t>
        </is>
      </c>
      <c r="C8" s="27" t="inlineStr">
        <is>
          <t>EMPENHADO 2025</t>
        </is>
      </c>
      <c r="D8" s="27" t="inlineStr">
        <is>
          <t>DOTAÇÃO AUTORIZADA 2026 (LEI+ALT)</t>
        </is>
      </c>
      <c r="E8" s="27" t="inlineStr">
        <is>
          <t>EMPENHADO 2026 (JAN–AGO)</t>
        </is>
      </c>
      <c r="F8" s="27" t="inlineStr">
        <is>
          <t>PROJEÇÃO LIQUIDADO 2026 (MÉDIA 5M abr–ago)</t>
        </is>
      </c>
      <c r="G8" s="27" t="inlineStr">
        <is>
          <t>PROJEÇÃO LIQUIDADO 2026 (MEDIANA 5M abr–ago)</t>
        </is>
      </c>
      <c r="H8" s="28" t="inlineStr">
        <is>
          <t>COMP. 1 — DÉFICIT: EMPENHO 2025 × DOTAÇÃO 2026</t>
        </is>
      </c>
      <c r="I8" s="29" t="inlineStr">
        <is>
          <t>ALTERAÇÃO 2026 (créditos add./cancel.)</t>
        </is>
      </c>
      <c r="J8" s="27" t="inlineStr">
        <is>
          <t>COMP. 2 — DÉFICIT: PROJEÇÃO DO LIQUIDADO 2026 × DOTAÇÃO</t>
        </is>
      </c>
      <c r="K8" s="27" t="inlineStr">
        <is>
          <t>COMP. 3 — DÉFICIT: PROJEÇÃO (MEDIANA) × DOTAÇÃO</t>
        </is>
      </c>
    </row>
    <row r="9">
      <c r="A9" s="2" t="inlineStr">
        <is>
          <t>26.782.6216.4195.0001</t>
        </is>
      </c>
      <c r="B9" s="30" t="inlineStr">
        <is>
          <t>DER — Conservação de Rodovias</t>
        </is>
      </c>
      <c r="C9" s="3" t="n">
        <v>129110646.71</v>
      </c>
      <c r="D9" s="3" t="n">
        <v>84961731</v>
      </c>
      <c r="E9" s="3" t="n">
        <v>56267573.51000001</v>
      </c>
      <c r="F9" s="3" t="n">
        <v>61878350.694</v>
      </c>
      <c r="G9" s="3" t="n">
        <v>60292428.95</v>
      </c>
      <c r="H9" s="31" t="n">
        <v>-44148915.70999999</v>
      </c>
      <c r="I9" s="32" t="n">
        <v>6954824</v>
      </c>
      <c r="J9" s="3" t="n">
        <v>23083380.306</v>
      </c>
      <c r="K9" s="3" t="n">
        <v>24669302.05</v>
      </c>
    </row>
    <row r="10">
      <c r="A10" s="2" t="inlineStr">
        <is>
          <t>26.782.6216.2885.0001</t>
        </is>
      </c>
      <c r="B10" s="30" t="inlineStr">
        <is>
          <t>DER — Manutenção de Máquinas e Equipamentos</t>
        </is>
      </c>
      <c r="C10" s="3" t="n">
        <v>2325304.56</v>
      </c>
      <c r="D10" s="3" t="n">
        <v>2850000</v>
      </c>
      <c r="E10" s="3" t="n">
        <v>1615195.97</v>
      </c>
      <c r="F10" s="3" t="n">
        <v>1368493.038</v>
      </c>
      <c r="G10" s="3" t="n">
        <v>1202132.23</v>
      </c>
      <c r="H10" s="31" t="n">
        <v>524695.4399999999</v>
      </c>
      <c r="I10" s="32" t="n">
        <v>-750000</v>
      </c>
      <c r="J10" s="3" t="n">
        <v>1481506.962</v>
      </c>
      <c r="K10" s="3" t="n">
        <v>1647867.77</v>
      </c>
    </row>
    <row r="11">
      <c r="A11" s="2" t="inlineStr">
        <is>
          <t>08.245.6228.9071.0003</t>
        </is>
      </c>
      <c r="B11" s="30" t="inlineStr">
        <is>
          <t>FAS — Bloco Proteção Social Básica</t>
        </is>
      </c>
      <c r="C11" s="3" t="n">
        <v>17580074.72</v>
      </c>
      <c r="D11" s="3" t="n">
        <v>18376397</v>
      </c>
      <c r="E11" s="3" t="n">
        <v>18376161.6</v>
      </c>
      <c r="F11" s="3" t="n">
        <v>24719409.754</v>
      </c>
      <c r="G11" s="3" t="n">
        <v>23569231.57</v>
      </c>
      <c r="H11" s="31" t="n">
        <v>796322.2800000012</v>
      </c>
      <c r="I11" s="32" t="n">
        <v>7590757</v>
      </c>
      <c r="J11" s="3" t="n">
        <v>-6343012.754000001</v>
      </c>
      <c r="K11" s="3" t="n">
        <v>-5192834.57</v>
      </c>
    </row>
    <row r="12">
      <c r="A12" s="2" t="inlineStr">
        <is>
          <t>08.245.6228.9073.0003</t>
        </is>
      </c>
      <c r="B12" s="30" t="inlineStr">
        <is>
          <t>FAS — Bloco Proteção Social Especial</t>
        </is>
      </c>
      <c r="C12" s="3" t="n">
        <v>98555614.88999999</v>
      </c>
      <c r="D12" s="3" t="n">
        <v>89013372</v>
      </c>
      <c r="E12" s="3" t="n">
        <v>84620124.88</v>
      </c>
      <c r="F12" s="3" t="n">
        <v>118062630.392</v>
      </c>
      <c r="G12" s="3" t="n">
        <v>113938807.84</v>
      </c>
      <c r="H12" s="31" t="n">
        <v>-9542242.889999986</v>
      </c>
      <c r="I12" s="32" t="n">
        <v>18477972</v>
      </c>
      <c r="J12" s="3" t="n">
        <v>-29049258.39199999</v>
      </c>
      <c r="K12" s="3" t="n">
        <v>-24925435.84</v>
      </c>
    </row>
    <row r="13">
      <c r="A13" s="2" t="inlineStr">
        <is>
          <t>08.244.6228.4162.0008</t>
        </is>
      </c>
      <c r="B13" s="30" t="inlineStr">
        <is>
          <t>FCEP — Transferência de Renda (DF Social)</t>
        </is>
      </c>
      <c r="C13" s="3" t="n">
        <v>114799347</v>
      </c>
      <c r="D13" s="3" t="n">
        <v>103838547</v>
      </c>
      <c r="E13" s="3" t="n">
        <v>103838547</v>
      </c>
      <c r="F13" s="3" t="n">
        <v>136055720</v>
      </c>
      <c r="G13" s="3" t="n">
        <v>136049440</v>
      </c>
      <c r="H13" s="31" t="n">
        <v>-10960800</v>
      </c>
      <c r="I13" s="32" t="n">
        <v>0</v>
      </c>
      <c r="J13" s="3" t="n">
        <v>-32217173</v>
      </c>
      <c r="K13" s="3" t="n">
        <v>-32210893</v>
      </c>
    </row>
    <row r="14">
      <c r="A14" s="2" t="inlineStr">
        <is>
          <t>10.302.6202.4206.0002</t>
        </is>
      </c>
      <c r="B14" s="30" t="inlineStr">
        <is>
          <t>FSDF — Contratos de Gestão HCB</t>
        </is>
      </c>
      <c r="C14" s="3" t="n">
        <v>207964578.8</v>
      </c>
      <c r="D14" s="3" t="n">
        <v>115000000</v>
      </c>
      <c r="E14" s="3" t="n">
        <v>112343864.47</v>
      </c>
      <c r="F14" s="3" t="n">
        <v>158912101.212</v>
      </c>
      <c r="G14" s="3" t="n">
        <v>111622617.54</v>
      </c>
      <c r="H14" s="31" t="n">
        <v>-92964578.80000001</v>
      </c>
      <c r="I14" s="32" t="n">
        <v>0</v>
      </c>
      <c r="J14" s="3" t="n">
        <v>-43912101.21200001</v>
      </c>
      <c r="K14" s="3" t="n">
        <v>3377382.460000008</v>
      </c>
    </row>
    <row r="15">
      <c r="A15" s="2" t="inlineStr">
        <is>
          <t>10.302.6202.4206.0001</t>
        </is>
      </c>
      <c r="B15" s="30" t="inlineStr">
        <is>
          <t>FSDF — Contratos de Gestão IGES-DF</t>
        </is>
      </c>
      <c r="C15" s="3" t="n">
        <v>1105908306.05</v>
      </c>
      <c r="D15" s="3" t="n">
        <v>692518381</v>
      </c>
      <c r="E15" s="3" t="n">
        <v>690458262.4400001</v>
      </c>
      <c r="F15" s="3" t="n">
        <v>825973808.08</v>
      </c>
      <c r="G15" s="3" t="n">
        <v>764189936.8</v>
      </c>
      <c r="H15" s="31" t="n">
        <v>-413389925.05</v>
      </c>
      <c r="I15" s="32" t="n">
        <v>217437484</v>
      </c>
      <c r="J15" s="3" t="n">
        <v>-133455427.08</v>
      </c>
      <c r="K15" s="3" t="n">
        <v>-71671555.79999995</v>
      </c>
    </row>
    <row r="16">
      <c r="A16" s="2" t="inlineStr">
        <is>
          <t>26.453.6216.2756.6137</t>
        </is>
      </c>
      <c r="B16" s="30" t="inlineStr">
        <is>
          <t>Metrô-DF — Manutenção do Sistema Ferroviário</t>
        </is>
      </c>
      <c r="C16" s="3" t="n">
        <v>103243925.43</v>
      </c>
      <c r="D16" s="3" t="n">
        <v>101893646</v>
      </c>
      <c r="E16" s="3" t="n">
        <v>82947993.37</v>
      </c>
      <c r="F16" s="3" t="n">
        <v>117172353.342</v>
      </c>
      <c r="G16" s="3" t="n">
        <v>120351226.83</v>
      </c>
      <c r="H16" s="31" t="n">
        <v>-1350279.429999992</v>
      </c>
      <c r="I16" s="32" t="n">
        <v>-8743486</v>
      </c>
      <c r="J16" s="3" t="n">
        <v>-15278707.34199999</v>
      </c>
      <c r="K16" s="3" t="n">
        <v>-18457580.82999998</v>
      </c>
    </row>
    <row r="17">
      <c r="A17" s="2" t="inlineStr">
        <is>
          <t>17.512.6209.2903.0001</t>
        </is>
      </c>
      <c r="B17" s="30" t="inlineStr">
        <is>
          <t>NOVACAP — Manutenção de Redes de Águas Pluviais</t>
        </is>
      </c>
      <c r="C17" s="3" t="n">
        <v>285379921.25</v>
      </c>
      <c r="D17" s="3" t="n">
        <v>93366912</v>
      </c>
      <c r="E17" s="3" t="n">
        <v>93265080.09999999</v>
      </c>
      <c r="F17" s="3" t="n">
        <v>114212533.074</v>
      </c>
      <c r="G17" s="3" t="n">
        <v>114077946.97</v>
      </c>
      <c r="H17" s="31" t="n">
        <v>-192013009.25</v>
      </c>
      <c r="I17" s="32" t="n">
        <v>71366912</v>
      </c>
      <c r="J17" s="3" t="n">
        <v>-20845621.074</v>
      </c>
      <c r="K17" s="3" t="n">
        <v>-20711034.97</v>
      </c>
    </row>
    <row r="18">
      <c r="A18" s="2" t="inlineStr">
        <is>
          <t>15.452.6209.8508.0002</t>
        </is>
      </c>
      <c r="B18" s="30" t="inlineStr">
        <is>
          <t>NOVACAP — Manutenção de Áreas Urbanizadas e Ajardinadas</t>
        </is>
      </c>
      <c r="C18" s="3" t="n">
        <v>378630891.71</v>
      </c>
      <c r="D18" s="3" t="n">
        <v>230517515</v>
      </c>
      <c r="E18" s="3" t="n">
        <v>230083678.12</v>
      </c>
      <c r="F18" s="3" t="n">
        <v>309230663.224</v>
      </c>
      <c r="G18" s="3" t="n">
        <v>289507218.44</v>
      </c>
      <c r="H18" s="31" t="n">
        <v>-148113376.71</v>
      </c>
      <c r="I18" s="32" t="n">
        <v>-29518820</v>
      </c>
      <c r="J18" s="3" t="n">
        <v>-78713148.22399998</v>
      </c>
      <c r="K18" s="3" t="n">
        <v>-58989703.44</v>
      </c>
    </row>
    <row r="19">
      <c r="A19" s="2" t="inlineStr">
        <is>
          <t>Ação 4202 (Passe Livre)</t>
        </is>
      </c>
      <c r="B19" s="30" t="inlineStr">
        <is>
          <t>Passe Livre — Consolidado (Ação 4202)</t>
        </is>
      </c>
      <c r="C19" s="3" t="n">
        <v>903250211.85</v>
      </c>
      <c r="D19" s="3" t="n">
        <v>283577866</v>
      </c>
      <c r="E19" s="3" t="n">
        <v>274204645.11</v>
      </c>
      <c r="F19" s="3" t="n">
        <v>360394405.22</v>
      </c>
      <c r="G19" s="3" t="n">
        <v>358989637.5</v>
      </c>
      <c r="H19" s="31" t="n">
        <v>-619672345.85</v>
      </c>
      <c r="I19" s="32" t="n">
        <v>57819142</v>
      </c>
      <c r="J19" s="3" t="n">
        <v>-76816539.21999997</v>
      </c>
      <c r="K19" s="3" t="n">
        <v>-75411771.5</v>
      </c>
    </row>
    <row r="20">
      <c r="A20" s="2" t="inlineStr">
        <is>
          <t>06.422.6217.2540.0002</t>
        </is>
      </c>
      <c r="B20" s="30" t="inlineStr">
        <is>
          <t>SEAPE — Fornecimento de Alimentação aos Presidiários</t>
        </is>
      </c>
      <c r="C20" s="3" t="n">
        <v>75248752.15000001</v>
      </c>
      <c r="D20" s="3" t="n">
        <v>82580000</v>
      </c>
      <c r="E20" s="3" t="n">
        <v>82579937.37</v>
      </c>
      <c r="F20" s="3" t="n">
        <v>120699105.58</v>
      </c>
      <c r="G20" s="3" t="n">
        <v>121148972.42</v>
      </c>
      <c r="H20" s="31" t="n">
        <v>7331247.849999994</v>
      </c>
      <c r="I20" s="32" t="n">
        <v>22580000</v>
      </c>
      <c r="J20" s="3" t="n">
        <v>-38119105.58000001</v>
      </c>
      <c r="K20" s="3" t="n">
        <v>-38568972.42</v>
      </c>
    </row>
    <row r="21">
      <c r="A21" s="2" t="inlineStr">
        <is>
          <t>06.421.6217.2727.0006</t>
        </is>
      </c>
      <c r="B21" s="30" t="inlineStr">
        <is>
          <t>SEAPE — Manutenção do Sistema Penitenciário</t>
        </is>
      </c>
      <c r="C21" s="3" t="n">
        <v>69384738.82000001</v>
      </c>
      <c r="D21" s="3" t="n">
        <v>56620453</v>
      </c>
      <c r="E21" s="3" t="n">
        <v>53490822.48999999</v>
      </c>
      <c r="F21" s="3" t="n">
        <v>70797819.41599999</v>
      </c>
      <c r="G21" s="3" t="n">
        <v>69898184.44</v>
      </c>
      <c r="H21" s="31" t="n">
        <v>-12764285.82000001</v>
      </c>
      <c r="I21" s="32" t="n">
        <v>-379547</v>
      </c>
      <c r="J21" s="3" t="n">
        <v>-14177366.41599999</v>
      </c>
      <c r="K21" s="3" t="n">
        <v>-13277731.44</v>
      </c>
    </row>
    <row r="22">
      <c r="A22" s="2" t="inlineStr">
        <is>
          <t>08.244.6228.4272.0001</t>
        </is>
      </c>
      <c r="B22" s="30" t="inlineStr">
        <is>
          <t>SEDES — Cartão Prato Cheio</t>
        </is>
      </c>
      <c r="C22" s="3" t="n">
        <v>346404406.7</v>
      </c>
      <c r="D22" s="3" t="n">
        <v>306663352</v>
      </c>
      <c r="E22" s="3" t="n">
        <v>306663352</v>
      </c>
      <c r="F22" s="3" t="n">
        <v>320531499.55</v>
      </c>
      <c r="G22" s="3" t="n">
        <v>320567499.55</v>
      </c>
      <c r="H22" s="31" t="n">
        <v>-39741054.69999999</v>
      </c>
      <c r="I22" s="32" t="n">
        <v>0</v>
      </c>
      <c r="J22" s="3" t="n">
        <v>-13868147.55000001</v>
      </c>
      <c r="K22" s="3" t="n">
        <v>-13904147.55000001</v>
      </c>
    </row>
    <row r="23">
      <c r="A23" s="2" t="inlineStr">
        <is>
          <t>08.306.6228.4175.0002</t>
        </is>
      </c>
      <c r="B23" s="30" t="inlineStr">
        <is>
          <t>SEDES — Restaurantes Comunitários</t>
        </is>
      </c>
      <c r="C23" s="3" t="n">
        <v>102462894.13</v>
      </c>
      <c r="D23" s="3" t="n">
        <v>83330907</v>
      </c>
      <c r="E23" s="3" t="n">
        <v>80726580.98</v>
      </c>
      <c r="F23" s="3" t="n">
        <v>95501355.336</v>
      </c>
      <c r="G23" s="3" t="n">
        <v>95238230.72</v>
      </c>
      <c r="H23" s="31" t="n">
        <v>-19131987.13</v>
      </c>
      <c r="I23" s="32" t="n">
        <v>-26669093</v>
      </c>
      <c r="J23" s="3" t="n">
        <v>-12170448.336</v>
      </c>
      <c r="K23" s="3" t="n">
        <v>-11907323.72</v>
      </c>
    </row>
    <row r="24">
      <c r="A24" s="2" t="inlineStr">
        <is>
          <t>04.122.0001.9126.0001</t>
        </is>
      </c>
      <c r="B24" s="30" t="inlineStr">
        <is>
          <t>SEEC — Aporte da Contribuição Mensal do GDF</t>
        </is>
      </c>
      <c r="C24" s="3" t="n">
        <v>239558375</v>
      </c>
      <c r="D24" s="3" t="n">
        <v>136396324</v>
      </c>
      <c r="E24" s="3" t="n">
        <v>115020988.69</v>
      </c>
      <c r="F24" s="3" t="n">
        <v>169830627.21</v>
      </c>
      <c r="G24" s="3" t="n">
        <v>155697518.37</v>
      </c>
      <c r="H24" s="31" t="n">
        <v>-103162051</v>
      </c>
      <c r="I24" s="32" t="n">
        <v>-19603676</v>
      </c>
      <c r="J24" s="3" t="n">
        <v>-33434303.20999998</v>
      </c>
      <c r="K24" s="3" t="n">
        <v>-19301194.37</v>
      </c>
    </row>
    <row r="25">
      <c r="A25" s="2" t="inlineStr">
        <is>
          <t>04.122.8203.2422.0006</t>
        </is>
      </c>
      <c r="B25" s="30" t="inlineStr">
        <is>
          <t>SEEC — Concessão de Bolsa Estágio</t>
        </is>
      </c>
      <c r="C25" s="3" t="n">
        <v>13284259.79</v>
      </c>
      <c r="D25" s="3" t="n">
        <v>20474327</v>
      </c>
      <c r="E25" s="3" t="n">
        <v>20473785.88</v>
      </c>
      <c r="F25" s="3" t="n">
        <v>8923633.762</v>
      </c>
      <c r="G25" s="3" t="n">
        <v>9086487.050000001</v>
      </c>
      <c r="H25" s="31" t="n">
        <v>7190067.210000001</v>
      </c>
      <c r="I25" s="32" t="n">
        <v>-12025673</v>
      </c>
      <c r="J25" s="3" t="n">
        <v>11550693.238</v>
      </c>
      <c r="K25" s="3" t="n">
        <v>11387839.95</v>
      </c>
    </row>
    <row r="26">
      <c r="A26" s="2" t="inlineStr">
        <is>
          <t>04.122.8203.2984.0001</t>
        </is>
      </c>
      <c r="B26" s="30" t="inlineStr">
        <is>
          <t>SEEC — Manutenção da Frota Oficial de Veículos</t>
        </is>
      </c>
      <c r="C26" s="3" t="n">
        <v>63769261.48</v>
      </c>
      <c r="D26" s="3" t="n">
        <v>78170130</v>
      </c>
      <c r="E26" s="3" t="n">
        <v>76652808.34999999</v>
      </c>
      <c r="F26" s="3" t="n">
        <v>64883453.478</v>
      </c>
      <c r="G26" s="3" t="n">
        <v>65346430.39</v>
      </c>
      <c r="H26" s="31" t="n">
        <v>14400868.52</v>
      </c>
      <c r="I26" s="32" t="n">
        <v>-6729870</v>
      </c>
      <c r="J26" s="3" t="n">
        <v>13286676.522</v>
      </c>
      <c r="K26" s="3" t="n">
        <v>12823699.61</v>
      </c>
    </row>
    <row r="27">
      <c r="A27" s="2" t="inlineStr">
        <is>
          <t>04.122.8203.2990.0008</t>
        </is>
      </c>
      <c r="B27" s="30" t="inlineStr">
        <is>
          <t>SEEC — Manutenção de Bens Imóveis do GDF (Limpeza)</t>
        </is>
      </c>
      <c r="C27" s="3" t="n">
        <v>125579677.58</v>
      </c>
      <c r="D27" s="3" t="n">
        <v>113624198</v>
      </c>
      <c r="E27" s="3" t="n">
        <v>76872476.25</v>
      </c>
      <c r="F27" s="3" t="n">
        <v>111501486.226</v>
      </c>
      <c r="G27" s="3" t="n">
        <v>87250448.53</v>
      </c>
      <c r="H27" s="31" t="n">
        <v>-11955479.58</v>
      </c>
      <c r="I27" s="32" t="n">
        <v>-16375802</v>
      </c>
      <c r="J27" s="3" t="n">
        <v>2122711.774000004</v>
      </c>
      <c r="K27" s="3" t="n">
        <v>26373749.47</v>
      </c>
    </row>
    <row r="28">
      <c r="A28" s="2" t="inlineStr">
        <is>
          <t>04.122.8203.2990.0006</t>
        </is>
      </c>
      <c r="B28" s="30" t="inlineStr">
        <is>
          <t>SEEC — Manutenção de Bens Imóveis do GDF (Vigilância)</t>
        </is>
      </c>
      <c r="C28" s="3" t="n">
        <v>466317647.58</v>
      </c>
      <c r="D28" s="3" t="n">
        <v>481451312</v>
      </c>
      <c r="E28" s="3" t="n">
        <v>472832297.49</v>
      </c>
      <c r="F28" s="3" t="n">
        <v>634028301.376</v>
      </c>
      <c r="G28" s="3" t="n">
        <v>622902560.8000001</v>
      </c>
      <c r="H28" s="31" t="n">
        <v>15133664.42000002</v>
      </c>
      <c r="I28" s="32" t="n">
        <v>259998593</v>
      </c>
      <c r="J28" s="3" t="n">
        <v>-152576989.376</v>
      </c>
      <c r="K28" s="3" t="n">
        <v>-141451248.8000001</v>
      </c>
    </row>
    <row r="29">
      <c r="A29" s="2" t="inlineStr">
        <is>
          <t>12.122.6221.4091.0096</t>
        </is>
      </c>
      <c r="B29" s="30" t="inlineStr">
        <is>
          <t>SEEDF — Educador Social Voluntário (ESV)</t>
        </is>
      </c>
      <c r="C29" s="3" t="n">
        <v>32178668</v>
      </c>
      <c r="D29" s="3" t="n">
        <v>68123072</v>
      </c>
      <c r="E29" s="3" t="n">
        <v>63795095.44</v>
      </c>
      <c r="F29" s="3" t="n">
        <v>114514600</v>
      </c>
      <c r="G29" s="3" t="n">
        <v>115626440</v>
      </c>
      <c r="H29" s="31" t="n">
        <v>35944404</v>
      </c>
      <c r="I29" s="32" t="n">
        <v>12179073</v>
      </c>
      <c r="J29" s="3" t="n">
        <v>-46391528</v>
      </c>
      <c r="K29" s="3" t="n">
        <v>-47503368</v>
      </c>
    </row>
    <row r="30">
      <c r="A30" s="2" t="inlineStr">
        <is>
          <t>15.452.6209.2079.6118</t>
        </is>
      </c>
      <c r="B30" s="30" t="inlineStr">
        <is>
          <t>SLU — Manutenção das Atividades de Limpeza Pública</t>
        </is>
      </c>
      <c r="C30" s="3" t="n">
        <v>467292465.03</v>
      </c>
      <c r="D30" s="3" t="n">
        <v>454261612</v>
      </c>
      <c r="E30" s="3" t="n">
        <v>453156972.93</v>
      </c>
      <c r="F30" s="3" t="n">
        <v>661286099.398</v>
      </c>
      <c r="G30" s="3" t="n">
        <v>697375108.95</v>
      </c>
      <c r="H30" s="31" t="n">
        <v>-13030853.03000003</v>
      </c>
      <c r="I30" s="32" t="n">
        <v>-60233282</v>
      </c>
      <c r="J30" s="3" t="n">
        <v>-207024487.398</v>
      </c>
      <c r="K30" s="3" t="n">
        <v>-243113496.95</v>
      </c>
    </row>
    <row r="31">
      <c r="A31" s="2" t="inlineStr">
        <is>
          <t>Ação 2455 (Equilíbrio STPC)</t>
        </is>
      </c>
      <c r="B31" s="30" t="inlineStr">
        <is>
          <t>STPC — Equilíbrio Financeiro Consolidado (Ação 2455)</t>
        </is>
      </c>
      <c r="C31" s="3" t="n">
        <v>936388552.6900001</v>
      </c>
      <c r="D31" s="3" t="n">
        <v>1187314937</v>
      </c>
      <c r="E31" s="3" t="n">
        <v>1013590511.96</v>
      </c>
      <c r="F31" s="3" t="n">
        <v>1550671703.614</v>
      </c>
      <c r="G31" s="3" t="n">
        <v>1422766402.63</v>
      </c>
      <c r="H31" s="31" t="n">
        <v>250926384.3099999</v>
      </c>
      <c r="I31" s="32" t="n">
        <v>298716982</v>
      </c>
      <c r="J31" s="3" t="n">
        <v>-363356766.6140001</v>
      </c>
      <c r="K31" s="3" t="n">
        <v>-235451465.6300001</v>
      </c>
    </row>
    <row r="32">
      <c r="A32" s="33" t="inlineStr">
        <is>
          <t>TOTAL (23 linhas — 26 PTs)</t>
        </is>
      </c>
      <c r="B32" s="34" t="n"/>
      <c r="C32" s="15" t="n">
        <v>6284618521.92</v>
      </c>
      <c r="D32" s="15" t="n">
        <v>4884924991</v>
      </c>
      <c r="E32" s="15" t="n">
        <v>4563876756.4</v>
      </c>
      <c r="F32" s="15" t="n">
        <v>6151150152.976</v>
      </c>
      <c r="G32" s="15" t="n">
        <v>5876694908.52</v>
      </c>
      <c r="H32" s="35" t="n">
        <v>-1399693530.92</v>
      </c>
      <c r="I32" s="36" t="n">
        <v>792092490</v>
      </c>
      <c r="J32" s="15" t="n">
        <v>-1266225161.976</v>
      </c>
      <c r="K32" s="15" t="n">
        <v>-991769917.5200002</v>
      </c>
    </row>
    <row r="34" ht="12" customHeight="1">
      <c r="A34" s="37" t="inlineStr">
        <is>
          <t>NOTAS</t>
        </is>
      </c>
    </row>
    <row r="35" ht="24" customHeight="1">
      <c r="A35" s="38" t="inlineStr">
        <is>
          <t>1. Fonte: "qdd.xlsx" (2025 e 2026) e "liq.xlsx" (liquidado mensal). Marcadores originais na aba QDD_Filtrado; abas por PT segregam por fonte de recursos (3 primeiros dígitos).</t>
        </is>
      </c>
    </row>
    <row r="36" ht="24" customHeight="1">
      <c r="A36" s="38" t="inlineStr">
        <is>
          <t>2. Comparação 2 (liquidado — média): projeção = liquidado acumulado (jan–ago) + média mensal dos 5 meses fechados (abr–ago) × meses restantes (set–dez = 4). Comparação 3 (liquidado — mediana): mesma fórmula, trocando a média pela mediana dos mesmos 5 meses (abr–ago) — mais robusta a meses atípicos. A mediana é calculada por fonte sobre os totais mensais e somada entre fontes. Último mês tratado como fechado: ago (8 meses). Base na aba Liquidado_Mensal.</t>
        </is>
      </c>
    </row>
    <row r="37" ht="24" customHeight="1">
      <c r="A37" s="38" t="inlineStr">
        <is>
          <t>3. Consolidações por ação: (a) Passe Livre (Ação 4202) — 26.453.6216.4202.0002 (PNE), 12.361.6221.4202.0004 e 12.453.6221.4202.0010 (Estudantil) agregados em PT_4202_Consolidado; (b) Equilíbrio Financeiro do STPC (Ação 2455) — 26.453.6216.2455.0002 e 26.453.6216.2455.0001 agregados em PT_2455_Consolidado. Valores somados por fonte de recursos.</t>
        </is>
      </c>
    </row>
    <row r="38" ht="24" customHeight="1">
      <c r="A38" s="38" t="inlineStr">
        <is>
          <t>4. Transformação de PT: o programa 08.306.6228.4173.0003 foi transformado em 08.244.6228.4272.0001 durante 2025. A execução de 2025 dos dois códigos foi consolidada sob o 4272.0001 (Cartão Prato Cheio); em 2026 existe apenas o 4272.0001.</t>
        </is>
      </c>
    </row>
    <row r="39" ht="24" customHeight="1">
      <c r="A39" s="38" t="inlineStr">
        <is>
          <t>5. Valores fixos (snapshot): os números das comparações foram gravados como valores calculados a partir dos arquivos-fonte, e não como fórmulas — assim a planilha não recalcula (nem altera os números) ao ser aberta/editada no Excel. Para atualizar, é preciso reprocessar com novos arquivos.</t>
        </is>
      </c>
    </row>
    <row r="40" ht="24" customHeight="1">
      <c r="A40" s="38" t="inlineStr">
        <is>
          <t>6. Convenção: valores negativos (em vermelho) = déficit; positivos = superávit/folga.</t>
        </is>
      </c>
    </row>
    <row r="41" ht="24" customHeight="1">
      <c r="A41" s="38" t="inlineStr">
        <is>
          <t>7. Filtro de fontes: esta aba considera, em TODOS os cálculos (empenho, dotação, liquidado e projeções), APENAS as fontes 100, 101, 102, 161, 178 e 183. Todas as demais fontes foram excluídas.</t>
        </is>
      </c>
    </row>
    <row r="63">
      <c r="A63" s="19" t="inlineStr">
        <is>
          <t>DADOS — GRÁFICO DE LINHA (Consolidado)</t>
        </is>
      </c>
    </row>
    <row r="64">
      <c r="A64" s="22" t="inlineStr">
        <is>
          <t>Mês</t>
        </is>
      </c>
      <c r="B64" s="22" t="inlineStr">
        <is>
          <t>Liquidado acumulado (total)</t>
        </is>
      </c>
      <c r="C64" s="22" t="inlineStr">
        <is>
          <t>Dotação autorizada total 2026</t>
        </is>
      </c>
    </row>
    <row r="65">
      <c r="A65" s="20" t="inlineStr">
        <is>
          <t>Jan</t>
        </is>
      </c>
      <c r="B65" s="21" t="n">
        <v>563981650.03</v>
      </c>
      <c r="C65" s="21" t="n">
        <v>4884924991</v>
      </c>
    </row>
    <row r="66">
      <c r="A66" s="20" t="inlineStr">
        <is>
          <t>Fev</t>
        </is>
      </c>
      <c r="B66" s="21" t="n">
        <v>1003438451.01</v>
      </c>
      <c r="C66" s="21" t="n">
        <v>4884924991</v>
      </c>
    </row>
    <row r="67">
      <c r="A67" s="20" t="inlineStr">
        <is>
          <t>Mar</t>
        </is>
      </c>
      <c r="B67" s="21" t="n">
        <v>1744438728.46</v>
      </c>
      <c r="C67" s="21" t="n">
        <v>4884924991</v>
      </c>
    </row>
    <row r="68">
      <c r="A68" s="20" t="inlineStr">
        <is>
          <t>Abr</t>
        </is>
      </c>
      <c r="B68" s="21" t="n">
        <v>2086218823.38</v>
      </c>
      <c r="C68" s="21" t="n">
        <v>4884924991</v>
      </c>
    </row>
    <row r="69">
      <c r="A69" s="20" t="inlineStr">
        <is>
          <t>Mai</t>
        </is>
      </c>
      <c r="B69" s="21" t="n">
        <v>2557967714.32</v>
      </c>
      <c r="C69" s="21" t="n">
        <v>4884924991</v>
      </c>
    </row>
    <row r="70">
      <c r="A70" s="20" t="inlineStr">
        <is>
          <t>Jun</t>
        </is>
      </c>
      <c r="B70" s="21" t="n">
        <v>3071781064.83</v>
      </c>
      <c r="C70" s="21" t="n">
        <v>4884924991</v>
      </c>
    </row>
    <row r="71">
      <c r="A71" s="20" t="inlineStr">
        <is>
          <t>Jul</t>
        </is>
      </c>
      <c r="B71" s="21" t="n">
        <v>3559258487.55</v>
      </c>
      <c r="C71" s="21" t="n">
        <v>4884924991</v>
      </c>
    </row>
    <row r="72">
      <c r="A72" s="20" t="inlineStr">
        <is>
          <t>Ago</t>
        </is>
      </c>
      <c r="B72" s="21" t="n">
        <v>4192611742.08</v>
      </c>
      <c r="C72" s="21" t="n">
        <v>4884924991</v>
      </c>
    </row>
  </sheetData>
  <mergeCells count="8">
    <mergeCell ref="A34:K34"/>
    <mergeCell ref="A35:K35"/>
    <mergeCell ref="A39:K39"/>
    <mergeCell ref="A38:K38"/>
    <mergeCell ref="A41:K41"/>
    <mergeCell ref="A36:K36"/>
    <mergeCell ref="A40:K40"/>
    <mergeCell ref="A37:K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2026-09-02T18:35:06Z</dcterms:created>
  <dcterms:modified xsi:type="dcterms:W3CDTF">2026-09-02T18:35:07Z</dcterms:modified>
</cp:coreProperties>
</file>